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E1E1"/>
        <bgColor rgb="00FFE1E1"/>
      </patternFill>
    </fill>
    <fill>
      <patternFill patternType="solid">
        <fgColor rgb="00F2F5FB"/>
        <bgColor rgb="00F2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52" customWidth="1" min="3" max="3"/>
    <col width="23" customWidth="1" min="4" max="4"/>
    <col width="41" customWidth="1" min="5" max="5"/>
    <col width="14" customWidth="1" min="6" max="6"/>
    <col width="12" customWidth="1" min="7" max="7"/>
    <col width="16" customWidth="1" min="8" max="8"/>
    <col width="16" customWidth="1" min="9" max="9"/>
    <col width="26" customWidth="1" min="10" max="10"/>
    <col width="62" customWidth="1" min="11" max="11"/>
    <col width="22" customWidth="1" min="12" max="12"/>
    <col width="20" customWidth="1" min="13" max="13"/>
    <col width="15" customWidth="1" min="14" max="14"/>
    <col width="13" customWidth="1" min="15" max="15"/>
    <col width="62" customWidth="1" min="16" max="16"/>
    <col width="62" customWidth="1" min="17" max="17"/>
    <col width="62" customWidth="1" min="18" max="18"/>
    <col width="61" customWidth="1" min="19" max="19"/>
    <col width="62" customWidth="1" min="20" max="20"/>
    <col width="62" customWidth="1" min="21" max="21"/>
    <col width="15" customWidth="1" min="22" max="22"/>
    <col width="24" customWidth="1" min="23" max="23"/>
    <col width="12" customWidth="1" min="24" max="24"/>
    <col width="15" customWidth="1" min="25" max="25"/>
  </cols>
  <sheetData>
    <row r="1">
      <c r="A1" s="1" t="inlineStr">
        <is>
          <t>ICS NUMBER</t>
        </is>
      </c>
      <c r="B1" s="1" t="inlineStr">
        <is>
          <t>CVE ID</t>
        </is>
      </c>
      <c r="C1" s="1" t="inlineStr">
        <is>
          <t>TITLE</t>
        </is>
      </c>
      <c r="D1" s="1" t="inlineStr">
        <is>
          <t>VENDOR</t>
        </is>
      </c>
      <c r="E1" s="1" t="inlineStr">
        <is>
          <t>PRODUCT</t>
        </is>
      </c>
      <c r="F1" s="1" t="inlineStr">
        <is>
          <t>CVSS SCORE</t>
        </is>
      </c>
      <c r="G1" s="1" t="inlineStr">
        <is>
          <t>SEVERITY</t>
        </is>
      </c>
      <c r="H1" s="1" t="inlineStr">
        <is>
          <t>RELEASE DATE</t>
        </is>
      </c>
      <c r="I1" s="1" t="inlineStr">
        <is>
          <t>LAST UPDATED</t>
        </is>
      </c>
      <c r="J1" s="1" t="inlineStr">
        <is>
          <t>CVE PUBLISHED DATE</t>
        </is>
      </c>
      <c r="K1" s="1" t="inlineStr">
        <is>
          <t>SECTOR</t>
        </is>
      </c>
      <c r="L1" s="1" t="inlineStr">
        <is>
          <t>PATCH AVAILABILITY</t>
        </is>
      </c>
      <c r="M1" s="1" t="inlineStr">
        <is>
          <t>POC AVAILABILITY</t>
        </is>
      </c>
      <c r="N1" s="1" t="inlineStr">
        <is>
          <t>PATCH (Y/N)</t>
        </is>
      </c>
      <c r="O1" s="1" t="inlineStr">
        <is>
          <t>POC (Y/N)</t>
        </is>
      </c>
      <c r="P1" s="1" t="inlineStr">
        <is>
          <t>XTRON SCORE</t>
        </is>
      </c>
      <c r="Q1" s="1" t="inlineStr">
        <is>
          <t>IMPACT</t>
        </is>
      </c>
      <c r="R1" s="1" t="inlineStr">
        <is>
          <t>AFFECTED VERSION</t>
        </is>
      </c>
      <c r="S1" s="1" t="inlineStr">
        <is>
          <t>FIXED VERSION</t>
        </is>
      </c>
      <c r="T1" s="1" t="inlineStr">
        <is>
          <t>CWE</t>
        </is>
      </c>
      <c r="U1" s="1" t="inlineStr">
        <is>
          <t>ADVISORY URL</t>
        </is>
      </c>
      <c r="V1" s="1" t="inlineStr">
        <is>
          <t>VENDOR HQ</t>
        </is>
      </c>
      <c r="W1" s="1" t="inlineStr">
        <is>
          <t>PRODUCT DISTRIBUTION</t>
        </is>
      </c>
      <c r="X1" s="1" t="inlineStr">
        <is>
          <t>KEV FLAG</t>
        </is>
      </c>
      <c r="Y1" s="1" t="inlineStr">
        <is>
          <t>DATA SOURCE</t>
        </is>
      </c>
    </row>
    <row r="2">
      <c r="A2" s="2" t="inlineStr">
        <is>
          <t>ICSMA-26-253-02</t>
        </is>
      </c>
      <c r="B2" s="2" t="inlineStr">
        <is>
          <t>CVE-2026-87020</t>
        </is>
      </c>
      <c r="C2" s="2" t="inlineStr">
        <is>
          <t>Orthanc DICOM Server</t>
        </is>
      </c>
      <c r="D2" s="2" t="inlineStr">
        <is>
          <t>Orthanc</t>
        </is>
      </c>
      <c r="E2" s="2" t="inlineStr">
        <is>
          <t>Orthanc DICOM Server</t>
        </is>
      </c>
      <c r="F2" s="2" t="inlineStr">
        <is>
          <t>8.1</t>
        </is>
      </c>
      <c r="G2" s="2" t="inlineStr">
        <is>
          <t>high</t>
        </is>
      </c>
      <c r="H2" s="2" t="inlineStr">
        <is>
          <t>9/10/2026</t>
        </is>
      </c>
      <c r="I2" s="2" t="inlineStr">
        <is>
          <t>9/10/2026</t>
        </is>
      </c>
      <c r="J2" s="2" t="inlineStr">
        <is>
          <t>2026-09-11T14:11:13.098Z</t>
        </is>
      </c>
      <c r="K2" s="2" t="inlineStr">
        <is>
          <t>Healthcare and Public Health</t>
        </is>
      </c>
      <c r="L2" s="2" t="inlineStr">
        <is>
          <t>Yes</t>
        </is>
      </c>
      <c r="M2" s="2" t="inlineStr">
        <is>
          <t>Likely</t>
        </is>
      </c>
      <c r="N2" s="2" t="inlineStr">
        <is>
          <t>Y</t>
        </is>
      </c>
      <c r="O2" s="2" t="inlineStr">
        <is>
          <t>N</t>
        </is>
      </c>
      <c r="P2" s="2">
        <f>IF(O2="Y",10,0)+IF(G2="Critical",65,IF(G2="High",60,IF(G2="Medium",50,IF(G2="Low",35,0))))</f>
        <v/>
      </c>
      <c r="Q2" s="2" t="inlineStr">
        <is>
          <t>Integer Overflow</t>
        </is>
      </c>
      <c r="R2" s="2" t="inlineStr">
        <is>
          <t>Orthanc DICOM Server &lt;1.13.0.</t>
        </is>
      </c>
      <c r="S2" s="2" t="inlineStr">
        <is>
          <t>1.13.0.</t>
        </is>
      </c>
      <c r="T2" s="2" t="inlineStr">
        <is>
          <t>CWE-190</t>
        </is>
      </c>
      <c r="U2" s="2" t="inlineStr">
        <is>
          <t>https://www.cisa.gov/news-events/ics-medical-advisories/icsma-26-253-02</t>
        </is>
      </c>
      <c r="V2" s="2" t="inlineStr">
        <is>
          <t>Belgium</t>
        </is>
      </c>
      <c r="W2" s="2" t="inlineStr">
        <is>
          <t>Worldwide</t>
        </is>
      </c>
      <c r="X2" s="2" t="inlineStr"/>
      <c r="Y2" s="2" t="inlineStr">
        <is>
          <t>csv</t>
        </is>
      </c>
    </row>
    <row r="3">
      <c r="A3" s="2" t="inlineStr">
        <is>
          <t>ICSMA-26-253-01</t>
        </is>
      </c>
      <c r="B3" s="2" t="inlineStr">
        <is>
          <t>CVE-2026-82583</t>
        </is>
      </c>
      <c r="C3" s="2" t="inlineStr">
        <is>
          <t>NextGen Healthcare Mirth Connect</t>
        </is>
      </c>
      <c r="D3" s="2" t="inlineStr">
        <is>
          <t>NextGen Healthcare</t>
        </is>
      </c>
      <c r="E3" s="2" t="inlineStr">
        <is>
          <t>NextGen Healthcare Mirth Connect</t>
        </is>
      </c>
      <c r="F3" s="2" t="inlineStr">
        <is>
          <t>8.3</t>
        </is>
      </c>
      <c r="G3" s="2" t="inlineStr">
        <is>
          <t>high</t>
        </is>
      </c>
      <c r="H3" s="2" t="inlineStr">
        <is>
          <t>9/10/2026</t>
        </is>
      </c>
      <c r="I3" s="2" t="inlineStr">
        <is>
          <t>9/10/2026</t>
        </is>
      </c>
      <c r="J3" s="2" t="inlineStr">
        <is>
          <t>2026-09-11T14:17:24.471Z</t>
        </is>
      </c>
      <c r="K3" s="2" t="inlineStr">
        <is>
          <t>Healthcare and Public Health</t>
        </is>
      </c>
      <c r="L3" s="2" t="inlineStr">
        <is>
          <t>Yes</t>
        </is>
      </c>
      <c r="M3" s="2" t="inlineStr">
        <is>
          <t>Likely</t>
        </is>
      </c>
      <c r="N3" s="2" t="inlineStr">
        <is>
          <t>Y</t>
        </is>
      </c>
      <c r="O3" s="2" t="inlineStr">
        <is>
          <t>N</t>
        </is>
      </c>
      <c r="P3" s="2">
        <f>IF(O3="Y",10,0)+IF(G3="Critical",65,IF(G3="High",60,IF(G3="Medium",50,IF(G3="Low",35,0))))</f>
        <v/>
      </c>
      <c r="Q3" s="2" t="inlineStr">
        <is>
          <t>XXE Injection, SQL Injection</t>
        </is>
      </c>
      <c r="R3" s="2" t="inlineStr">
        <is>
          <t>Mirth Connect &lt;=v4.7.1</t>
        </is>
      </c>
      <c r="S3" s="2" t="inlineStr">
        <is>
          <t>4.7.1</t>
        </is>
      </c>
      <c r="T3" s="2" t="inlineStr">
        <is>
          <t>CWE-611, CWE-89</t>
        </is>
      </c>
      <c r="U3" s="2" t="inlineStr">
        <is>
          <t>https://www.cisa.gov/news-events/ics-medical-advisories/icsma-26-253-01</t>
        </is>
      </c>
      <c r="V3" s="2" t="inlineStr">
        <is>
          <t>United States</t>
        </is>
      </c>
      <c r="W3" s="2" t="inlineStr">
        <is>
          <t>Worldwide</t>
        </is>
      </c>
      <c r="X3" s="2" t="inlineStr"/>
      <c r="Y3" s="2" t="inlineStr">
        <is>
          <t>csv</t>
        </is>
      </c>
    </row>
    <row r="4">
      <c r="A4" s="2" t="inlineStr">
        <is>
          <t>ICSMA-26-253-01</t>
        </is>
      </c>
      <c r="B4" s="2" t="inlineStr">
        <is>
          <t>CVE-2026-78224</t>
        </is>
      </c>
      <c r="C4" s="2" t="inlineStr">
        <is>
          <t>NextGen Healthcare Mirth Connect</t>
        </is>
      </c>
      <c r="D4" s="2" t="inlineStr">
        <is>
          <t>NextGen Healthcare</t>
        </is>
      </c>
      <c r="E4" s="2" t="inlineStr">
        <is>
          <t>NextGen Healthcare Mirth Connect</t>
        </is>
      </c>
      <c r="F4" s="2" t="inlineStr">
        <is>
          <t>8.3</t>
        </is>
      </c>
      <c r="G4" s="2" t="inlineStr">
        <is>
          <t>high</t>
        </is>
      </c>
      <c r="H4" s="2" t="inlineStr">
        <is>
          <t>9/10/2026</t>
        </is>
      </c>
      <c r="I4" s="2" t="inlineStr">
        <is>
          <t>9/10/2026</t>
        </is>
      </c>
      <c r="J4" s="2" t="inlineStr">
        <is>
          <t>2026-09-11T14:20:06.708Z</t>
        </is>
      </c>
      <c r="K4" s="2" t="inlineStr">
        <is>
          <t>Healthcare and Public Health</t>
        </is>
      </c>
      <c r="L4" s="2" t="inlineStr">
        <is>
          <t>Yes</t>
        </is>
      </c>
      <c r="M4" s="2" t="inlineStr">
        <is>
          <t>Likely</t>
        </is>
      </c>
      <c r="N4" s="2" t="inlineStr">
        <is>
          <t>Y</t>
        </is>
      </c>
      <c r="O4" s="2" t="inlineStr">
        <is>
          <t>N</t>
        </is>
      </c>
      <c r="P4" s="2">
        <f>IF(O4="Y",10,0)+IF(G4="Critical",65,IF(G4="High",60,IF(G4="Medium",50,IF(G4="Low",35,0))))</f>
        <v/>
      </c>
      <c r="Q4" s="2" t="inlineStr">
        <is>
          <t>XXE Injection, SQL Injection</t>
        </is>
      </c>
      <c r="R4" s="2" t="inlineStr">
        <is>
          <t>Mirth Connect &lt;=v4.7.1</t>
        </is>
      </c>
      <c r="S4" s="2" t="inlineStr">
        <is>
          <t>4.7.1</t>
        </is>
      </c>
      <c r="T4" s="2" t="inlineStr">
        <is>
          <t>CWE-611, CWE-89</t>
        </is>
      </c>
      <c r="U4" s="2" t="inlineStr">
        <is>
          <t>https://www.cisa.gov/news-events/ics-medical-advisories/icsma-26-253-01</t>
        </is>
      </c>
      <c r="V4" s="2" t="inlineStr">
        <is>
          <t>United States</t>
        </is>
      </c>
      <c r="W4" s="2" t="inlineStr">
        <is>
          <t>Worldwide</t>
        </is>
      </c>
      <c r="X4" s="2" t="inlineStr"/>
      <c r="Y4" s="2" t="inlineStr">
        <is>
          <t>csv</t>
        </is>
      </c>
    </row>
    <row r="5">
      <c r="A5" s="2" t="inlineStr">
        <is>
          <t>ICSMA-26-253-01</t>
        </is>
      </c>
      <c r="B5" s="2" t="inlineStr">
        <is>
          <t>CVE-2026-82578</t>
        </is>
      </c>
      <c r="C5" s="2" t="inlineStr">
        <is>
          <t>NextGen Healthcare Mirth Connect</t>
        </is>
      </c>
      <c r="D5" s="2" t="inlineStr">
        <is>
          <t>NextGen Healthcare</t>
        </is>
      </c>
      <c r="E5" s="2" t="inlineStr">
        <is>
          <t>NextGen Healthcare Mirth Connect</t>
        </is>
      </c>
      <c r="F5" s="2" t="inlineStr">
        <is>
          <t>8.3</t>
        </is>
      </c>
      <c r="G5" s="2" t="inlineStr">
        <is>
          <t>high</t>
        </is>
      </c>
      <c r="H5" s="2" t="inlineStr">
        <is>
          <t>9/10/2026</t>
        </is>
      </c>
      <c r="I5" s="2" t="inlineStr">
        <is>
          <t>9/10/2026</t>
        </is>
      </c>
      <c r="J5" s="2" t="inlineStr">
        <is>
          <t>2026-09-11T14:22:29.454Z</t>
        </is>
      </c>
      <c r="K5" s="2" t="inlineStr">
        <is>
          <t>Healthcare and Public Health</t>
        </is>
      </c>
      <c r="L5" s="2" t="inlineStr">
        <is>
          <t>Yes</t>
        </is>
      </c>
      <c r="M5" s="2" t="inlineStr">
        <is>
          <t>Likely</t>
        </is>
      </c>
      <c r="N5" s="2" t="inlineStr">
        <is>
          <t>Y</t>
        </is>
      </c>
      <c r="O5" s="2" t="inlineStr">
        <is>
          <t>N</t>
        </is>
      </c>
      <c r="P5" s="2">
        <f>IF(O5="Y",10,0)+IF(G5="Critical",65,IF(G5="High",60,IF(G5="Medium",50,IF(G5="Low",35,0))))</f>
        <v/>
      </c>
      <c r="Q5" s="2" t="inlineStr">
        <is>
          <t>XXE Injection, SQL Injection</t>
        </is>
      </c>
      <c r="R5" s="2" t="inlineStr">
        <is>
          <t>Mirth Connect &lt;=v4.7.1</t>
        </is>
      </c>
      <c r="S5" s="2" t="inlineStr">
        <is>
          <t>4.7.1</t>
        </is>
      </c>
      <c r="T5" s="2" t="inlineStr">
        <is>
          <t>CWE-611, CWE-89</t>
        </is>
      </c>
      <c r="U5" s="2" t="inlineStr">
        <is>
          <t>https://www.cisa.gov/news-events/ics-medical-advisories/icsma-26-253-01</t>
        </is>
      </c>
      <c r="V5" s="2" t="inlineStr">
        <is>
          <t>United States</t>
        </is>
      </c>
      <c r="W5" s="2" t="inlineStr">
        <is>
          <t>Worldwide</t>
        </is>
      </c>
      <c r="X5" s="2" t="inlineStr"/>
      <c r="Y5" s="2" t="inlineStr">
        <is>
          <t>csv</t>
        </is>
      </c>
    </row>
    <row r="6">
      <c r="A6" s="2" t="inlineStr">
        <is>
          <t>ICSA-26-272-07</t>
        </is>
      </c>
      <c r="B6" s="2" t="inlineStr">
        <is>
          <t>CVE-2026-94204</t>
        </is>
      </c>
      <c r="C6" s="2" t="inlineStr">
        <is>
          <t>Viidure Dashcam Android Application</t>
        </is>
      </c>
      <c r="D6" s="2" t="inlineStr">
        <is>
          <t>Viidure</t>
        </is>
      </c>
      <c r="E6" s="2" t="inlineStr">
        <is>
          <t>Viidure Dashcam Android Application</t>
        </is>
      </c>
      <c r="F6" s="2" t="inlineStr">
        <is>
          <t>10.0</t>
        </is>
      </c>
      <c r="G6" s="2" t="inlineStr">
        <is>
          <t>critical</t>
        </is>
      </c>
      <c r="H6" s="2" t="inlineStr">
        <is>
          <t>9/29/2026</t>
        </is>
      </c>
      <c r="I6" s="2" t="inlineStr">
        <is>
          <t>9/29/2026</t>
        </is>
      </c>
      <c r="J6" s="2" t="inlineStr"/>
      <c r="K6" s="2" t="inlineStr">
        <is>
          <t>Transportation Systems</t>
        </is>
      </c>
      <c r="L6" s="2" t="inlineStr">
        <is>
          <t>Yes</t>
        </is>
      </c>
      <c r="M6" s="2" t="inlineStr">
        <is>
          <t>Likely</t>
        </is>
      </c>
      <c r="N6" s="2" t="inlineStr">
        <is>
          <t>Y</t>
        </is>
      </c>
      <c r="O6" s="2" t="inlineStr">
        <is>
          <t>N</t>
        </is>
      </c>
      <c r="P6" s="2">
        <f>IF(O6="Y",10,0)+IF(G6="Critical",65,IF(G6="High",60,IF(G6="Medium",50,IF(G6="Low",35,0))))</f>
        <v/>
      </c>
      <c r="Q6" s="2" t="inlineStr">
        <is>
          <t>Incorrect Permission Assignment, Hard-coded Credentials</t>
        </is>
      </c>
      <c r="R6" s="2" t="inlineStr">
        <is>
          <t>Dashcam Android Application &lt;=3.3.1.260403</t>
        </is>
      </c>
      <c r="S6" s="2" t="inlineStr">
        <is>
          <t>3.3.1.260403</t>
        </is>
      </c>
      <c r="T6" s="2" t="inlineStr">
        <is>
          <t>CWE-732, CWE-798</t>
        </is>
      </c>
      <c r="U6" s="2" t="inlineStr">
        <is>
          <t>https://www.cisa.gov/news-events/ics-advisories/icsa-26-272-07</t>
        </is>
      </c>
      <c r="V6" s="2" t="inlineStr">
        <is>
          <t>China</t>
        </is>
      </c>
      <c r="W6" s="2" t="inlineStr">
        <is>
          <t>Worldwide</t>
        </is>
      </c>
      <c r="X6" s="2" t="inlineStr"/>
      <c r="Y6" s="2" t="inlineStr">
        <is>
          <t>csv</t>
        </is>
      </c>
    </row>
    <row r="7">
      <c r="A7" s="2" t="inlineStr">
        <is>
          <t>ICSA-26-272-07</t>
        </is>
      </c>
      <c r="B7" s="2" t="inlineStr">
        <is>
          <t>CVE-2026-96587</t>
        </is>
      </c>
      <c r="C7" s="2" t="inlineStr">
        <is>
          <t>Viidure Dashcam Android Application</t>
        </is>
      </c>
      <c r="D7" s="2" t="inlineStr">
        <is>
          <t>Viidure</t>
        </is>
      </c>
      <c r="E7" s="2" t="inlineStr">
        <is>
          <t>Viidure Dashcam Android Application</t>
        </is>
      </c>
      <c r="F7" s="2" t="inlineStr">
        <is>
          <t>10.0</t>
        </is>
      </c>
      <c r="G7" s="2" t="inlineStr">
        <is>
          <t>critical</t>
        </is>
      </c>
      <c r="H7" s="2" t="inlineStr">
        <is>
          <t>9/29/2026</t>
        </is>
      </c>
      <c r="I7" s="2" t="inlineStr">
        <is>
          <t>9/29/2026</t>
        </is>
      </c>
      <c r="J7" s="2" t="inlineStr"/>
      <c r="K7" s="2" t="inlineStr">
        <is>
          <t>Transportation Systems</t>
        </is>
      </c>
      <c r="L7" s="2" t="inlineStr">
        <is>
          <t>Yes</t>
        </is>
      </c>
      <c r="M7" s="2" t="inlineStr">
        <is>
          <t>Likely</t>
        </is>
      </c>
      <c r="N7" s="2" t="inlineStr">
        <is>
          <t>Y</t>
        </is>
      </c>
      <c r="O7" s="2" t="inlineStr">
        <is>
          <t>N</t>
        </is>
      </c>
      <c r="P7" s="2">
        <f>IF(O7="Y",10,0)+IF(G7="Critical",65,IF(G7="High",60,IF(G7="Medium",50,IF(G7="Low",35,0))))</f>
        <v/>
      </c>
      <c r="Q7" s="2" t="inlineStr">
        <is>
          <t>Incorrect Permission Assignment, Hard-coded Credentials</t>
        </is>
      </c>
      <c r="R7" s="2" t="inlineStr">
        <is>
          <t>Dashcam Android Application &lt;=3.3.1.260403</t>
        </is>
      </c>
      <c r="S7" s="2" t="inlineStr">
        <is>
          <t>3.3.1.260403</t>
        </is>
      </c>
      <c r="T7" s="2" t="inlineStr">
        <is>
          <t>CWE-732, CWE-798</t>
        </is>
      </c>
      <c r="U7" s="2" t="inlineStr">
        <is>
          <t>https://www.cisa.gov/news-events/ics-advisories/icsa-26-272-07</t>
        </is>
      </c>
      <c r="V7" s="2" t="inlineStr">
        <is>
          <t>China</t>
        </is>
      </c>
      <c r="W7" s="2" t="inlineStr">
        <is>
          <t>Worldwide</t>
        </is>
      </c>
      <c r="X7" s="2" t="inlineStr"/>
      <c r="Y7" s="2" t="inlineStr">
        <is>
          <t>csv</t>
        </is>
      </c>
    </row>
    <row r="8">
      <c r="A8" s="2" t="inlineStr">
        <is>
          <t>ICSA-26-272-06</t>
        </is>
      </c>
      <c r="B8" s="2" t="inlineStr">
        <is>
          <t>CVE-2026-84411</t>
        </is>
      </c>
      <c r="C8" s="2" t="inlineStr">
        <is>
          <t>MikroTik RouterOS</t>
        </is>
      </c>
      <c r="D8" s="2" t="inlineStr">
        <is>
          <t>MikroTik</t>
        </is>
      </c>
      <c r="E8" s="2" t="inlineStr">
        <is>
          <t>MikroTik RouterOS</t>
        </is>
      </c>
      <c r="F8" s="2" t="inlineStr">
        <is>
          <t>9.8</t>
        </is>
      </c>
      <c r="G8" s="2" t="inlineStr">
        <is>
          <t>critical</t>
        </is>
      </c>
      <c r="H8" s="2" t="inlineStr">
        <is>
          <t>9/29/2026</t>
        </is>
      </c>
      <c r="I8" s="2" t="inlineStr">
        <is>
          <t>9/29/2026</t>
        </is>
      </c>
      <c r="J8" s="2" t="inlineStr"/>
      <c r="K8" s="2" t="inlineStr">
        <is>
          <t>Communications; Information Technology</t>
        </is>
      </c>
      <c r="L8" s="2" t="inlineStr">
        <is>
          <t>Yes</t>
        </is>
      </c>
      <c r="M8" s="2" t="inlineStr">
        <is>
          <t>Likely</t>
        </is>
      </c>
      <c r="N8" s="2" t="inlineStr">
        <is>
          <t>Y</t>
        </is>
      </c>
      <c r="O8" s="2" t="inlineStr">
        <is>
          <t>N</t>
        </is>
      </c>
      <c r="P8" s="2">
        <f>IF(O8="Y",10,0)+IF(G8="Critical",65,IF(G8="High",60,IF(G8="Medium",50,IF(G8="Low",35,0))))</f>
        <v/>
      </c>
      <c r="Q8" s="2" t="inlineStr">
        <is>
          <t>Unknown</t>
        </is>
      </c>
      <c r="R8" s="2" t="inlineStr">
        <is>
          <t>RouterOS &lt;7.24</t>
        </is>
      </c>
      <c r="S8" s="2" t="inlineStr">
        <is>
          <t>7.24</t>
        </is>
      </c>
      <c r="T8" s="2" t="inlineStr">
        <is>
          <t>CWE-191</t>
        </is>
      </c>
      <c r="U8" s="2" t="inlineStr">
        <is>
          <t>https://www.cisa.gov/news-events/ics-advisories/icsa-26-272-06</t>
        </is>
      </c>
      <c r="V8" s="2" t="inlineStr">
        <is>
          <t>Latvia</t>
        </is>
      </c>
      <c r="W8" s="2" t="inlineStr">
        <is>
          <t>Worldwide</t>
        </is>
      </c>
      <c r="X8" s="2" t="inlineStr"/>
      <c r="Y8" s="2" t="inlineStr">
        <is>
          <t>csv</t>
        </is>
      </c>
    </row>
    <row r="9">
      <c r="A9" s="2" t="inlineStr">
        <is>
          <t>ICSA-26-272-05</t>
        </is>
      </c>
      <c r="B9" s="2" t="inlineStr">
        <is>
          <t>CVE-2026-100291</t>
        </is>
      </c>
      <c r="C9" s="2" t="inlineStr">
        <is>
          <t>Anjvision YSSD-RTMP-H5</t>
        </is>
      </c>
      <c r="D9" s="2" t="inlineStr">
        <is>
          <t>Anjvision</t>
        </is>
      </c>
      <c r="E9" s="2" t="inlineStr">
        <is>
          <t>Anjvision YSSD-RTMP-H5</t>
        </is>
      </c>
      <c r="F9" s="2" t="inlineStr">
        <is>
          <t>9.8</t>
        </is>
      </c>
      <c r="G9" s="2" t="inlineStr">
        <is>
          <t>critical</t>
        </is>
      </c>
      <c r="H9" s="2" t="inlineStr">
        <is>
          <t>9/29/2026</t>
        </is>
      </c>
      <c r="I9" s="2" t="inlineStr">
        <is>
          <t>9/29/2026</t>
        </is>
      </c>
      <c r="J9" s="2" t="inlineStr"/>
      <c r="K9" s="2" t="inlineStr">
        <is>
          <t>Commercial Facilities</t>
        </is>
      </c>
      <c r="L9" s="2" t="inlineStr">
        <is>
          <t>Yes</t>
        </is>
      </c>
      <c r="M9" s="2" t="inlineStr">
        <is>
          <t>Likely</t>
        </is>
      </c>
      <c r="N9" s="2" t="inlineStr">
        <is>
          <t>Y</t>
        </is>
      </c>
      <c r="O9" s="2" t="inlineStr">
        <is>
          <t>N</t>
        </is>
      </c>
      <c r="P9" s="2">
        <f>IF(O9="Y",10,0)+IF(G9="Critical",65,IF(G9="High",60,IF(G9="Medium",50,IF(G9="Low",35,0))))</f>
        <v/>
      </c>
      <c r="Q9" s="2" t="inlineStr">
        <is>
          <t>Improper Verification of Cryptographic Signature, Insufficient Credential Protection, OS Command Injection, Hard-coded Credentials, SSRF</t>
        </is>
      </c>
      <c r="R9" s="2" t="inlineStr">
        <is>
          <t>YSSD-RTMP-H5 firmware 3.3.2.4_build_2024-12-26</t>
        </is>
      </c>
      <c r="S9" s="2" t="inlineStr">
        <is>
          <t>Unknown</t>
        </is>
      </c>
      <c r="T9" s="2" t="inlineStr">
        <is>
          <t>CWE-1188, CWE-1391, CWE-347, CWE-489, CWE-522, CWE-754, CWE-78, CWE-798, CWE-918</t>
        </is>
      </c>
      <c r="U9" s="2" t="inlineStr">
        <is>
          <t>https://www.cisa.gov/news-events/ics-advisories/icsa-26-272-05</t>
        </is>
      </c>
      <c r="V9" s="2" t="inlineStr">
        <is>
          <t>China</t>
        </is>
      </c>
      <c r="W9" s="2" t="inlineStr">
        <is>
          <t>Worldwide</t>
        </is>
      </c>
      <c r="X9" s="2" t="inlineStr"/>
      <c r="Y9" s="2" t="inlineStr">
        <is>
          <t>csv</t>
        </is>
      </c>
    </row>
    <row r="10">
      <c r="A10" s="2" t="inlineStr">
        <is>
          <t>ICSA-26-272-05</t>
        </is>
      </c>
      <c r="B10" s="2" t="inlineStr">
        <is>
          <t>CVE-2026-100292</t>
        </is>
      </c>
      <c r="C10" s="2" t="inlineStr">
        <is>
          <t>Anjvision YSSD-RTMP-H5</t>
        </is>
      </c>
      <c r="D10" s="2" t="inlineStr">
        <is>
          <t>Anjvision</t>
        </is>
      </c>
      <c r="E10" s="2" t="inlineStr">
        <is>
          <t>Anjvision YSSD-RTMP-H5</t>
        </is>
      </c>
      <c r="F10" s="2" t="inlineStr">
        <is>
          <t>9.8</t>
        </is>
      </c>
      <c r="G10" s="2" t="inlineStr">
        <is>
          <t>critical</t>
        </is>
      </c>
      <c r="H10" s="2" t="inlineStr">
        <is>
          <t>9/29/2026</t>
        </is>
      </c>
      <c r="I10" s="2" t="inlineStr">
        <is>
          <t>9/29/2026</t>
        </is>
      </c>
      <c r="J10" s="2" t="inlineStr"/>
      <c r="K10" s="2" t="inlineStr">
        <is>
          <t>Commercial Facilities</t>
        </is>
      </c>
      <c r="L10" s="2" t="inlineStr">
        <is>
          <t>Yes</t>
        </is>
      </c>
      <c r="M10" s="2" t="inlineStr">
        <is>
          <t>Likely</t>
        </is>
      </c>
      <c r="N10" s="2" t="inlineStr">
        <is>
          <t>Y</t>
        </is>
      </c>
      <c r="O10" s="2" t="inlineStr">
        <is>
          <t>N</t>
        </is>
      </c>
      <c r="P10" s="2">
        <f>IF(O10="Y",10,0)+IF(G10="Critical",65,IF(G10="High",60,IF(G10="Medium",50,IF(G10="Low",35,0))))</f>
        <v/>
      </c>
      <c r="Q10" s="2" t="inlineStr">
        <is>
          <t>Improper Verification of Cryptographic Signature, Insufficient Credential Protection, OS Command Injection, Hard-coded Credentials, SSRF</t>
        </is>
      </c>
      <c r="R10" s="2" t="inlineStr">
        <is>
          <t>YSSD-RTMP-H5 firmware 3.3.2.4_build_2024-12-26</t>
        </is>
      </c>
      <c r="S10" s="2" t="inlineStr">
        <is>
          <t>Unknown</t>
        </is>
      </c>
      <c r="T10" s="2" t="inlineStr">
        <is>
          <t>CWE-1188, CWE-1391, CWE-347, CWE-489, CWE-522, CWE-754, CWE-78, CWE-798, CWE-918</t>
        </is>
      </c>
      <c r="U10" s="2" t="inlineStr">
        <is>
          <t>https://www.cisa.gov/news-events/ics-advisories/icsa-26-272-05</t>
        </is>
      </c>
      <c r="V10" s="2" t="inlineStr">
        <is>
          <t>China</t>
        </is>
      </c>
      <c r="W10" s="2" t="inlineStr">
        <is>
          <t>Worldwide</t>
        </is>
      </c>
      <c r="X10" s="2" t="inlineStr"/>
      <c r="Y10" s="2" t="inlineStr">
        <is>
          <t>csv</t>
        </is>
      </c>
    </row>
    <row r="11">
      <c r="A11" s="2" t="inlineStr">
        <is>
          <t>ICSA-26-272-05</t>
        </is>
      </c>
      <c r="B11" s="2" t="inlineStr">
        <is>
          <t>CVE-2026-100293</t>
        </is>
      </c>
      <c r="C11" s="2" t="inlineStr">
        <is>
          <t>Anjvision YSSD-RTMP-H5</t>
        </is>
      </c>
      <c r="D11" s="2" t="inlineStr">
        <is>
          <t>Anjvision</t>
        </is>
      </c>
      <c r="E11" s="2" t="inlineStr">
        <is>
          <t>Anjvision YSSD-RTMP-H5</t>
        </is>
      </c>
      <c r="F11" s="2" t="inlineStr">
        <is>
          <t>9.8</t>
        </is>
      </c>
      <c r="G11" s="2" t="inlineStr">
        <is>
          <t>critical</t>
        </is>
      </c>
      <c r="H11" s="2" t="inlineStr">
        <is>
          <t>9/29/2026</t>
        </is>
      </c>
      <c r="I11" s="2" t="inlineStr">
        <is>
          <t>9/29/2026</t>
        </is>
      </c>
      <c r="J11" s="2" t="inlineStr"/>
      <c r="K11" s="2" t="inlineStr">
        <is>
          <t>Commercial Facilities</t>
        </is>
      </c>
      <c r="L11" s="2" t="inlineStr">
        <is>
          <t>Yes</t>
        </is>
      </c>
      <c r="M11" s="2" t="inlineStr">
        <is>
          <t>Likely</t>
        </is>
      </c>
      <c r="N11" s="2" t="inlineStr">
        <is>
          <t>Y</t>
        </is>
      </c>
      <c r="O11" s="2" t="inlineStr">
        <is>
          <t>N</t>
        </is>
      </c>
      <c r="P11" s="2">
        <f>IF(O11="Y",10,0)+IF(G11="Critical",65,IF(G11="High",60,IF(G11="Medium",50,IF(G11="Low",35,0))))</f>
        <v/>
      </c>
      <c r="Q11" s="2" t="inlineStr">
        <is>
          <t>Improper Verification of Cryptographic Signature, Insufficient Credential Protection, OS Command Injection, Hard-coded Credentials, SSRF</t>
        </is>
      </c>
      <c r="R11" s="2" t="inlineStr">
        <is>
          <t>YSSD-RTMP-H5 firmware 3.3.2.4_build_2024-12-26</t>
        </is>
      </c>
      <c r="S11" s="2" t="inlineStr">
        <is>
          <t>Unknown</t>
        </is>
      </c>
      <c r="T11" s="2" t="inlineStr">
        <is>
          <t>CWE-1188, CWE-1391, CWE-347, CWE-489, CWE-522, CWE-754, CWE-78, CWE-798, CWE-918</t>
        </is>
      </c>
      <c r="U11" s="2" t="inlineStr">
        <is>
          <t>https://www.cisa.gov/news-events/ics-advisories/icsa-26-272-05</t>
        </is>
      </c>
      <c r="V11" s="2" t="inlineStr">
        <is>
          <t>China</t>
        </is>
      </c>
      <c r="W11" s="2" t="inlineStr">
        <is>
          <t>Worldwide</t>
        </is>
      </c>
      <c r="X11" s="2" t="inlineStr"/>
      <c r="Y11" s="2" t="inlineStr">
        <is>
          <t>csv</t>
        </is>
      </c>
    </row>
    <row r="12">
      <c r="A12" s="2" t="inlineStr">
        <is>
          <t>ICSA-26-272-05</t>
        </is>
      </c>
      <c r="B12" s="2" t="inlineStr">
        <is>
          <t>CVE-2026-100294</t>
        </is>
      </c>
      <c r="C12" s="2" t="inlineStr">
        <is>
          <t>Anjvision YSSD-RTMP-H5</t>
        </is>
      </c>
      <c r="D12" s="2" t="inlineStr">
        <is>
          <t>Anjvision</t>
        </is>
      </c>
      <c r="E12" s="2" t="inlineStr">
        <is>
          <t>Anjvision YSSD-RTMP-H5</t>
        </is>
      </c>
      <c r="F12" s="2" t="inlineStr">
        <is>
          <t>9.8</t>
        </is>
      </c>
      <c r="G12" s="2" t="inlineStr">
        <is>
          <t>critical</t>
        </is>
      </c>
      <c r="H12" s="2" t="inlineStr">
        <is>
          <t>9/29/2026</t>
        </is>
      </c>
      <c r="I12" s="2" t="inlineStr">
        <is>
          <t>9/29/2026</t>
        </is>
      </c>
      <c r="J12" s="2" t="inlineStr"/>
      <c r="K12" s="2" t="inlineStr">
        <is>
          <t>Commercial Facilities</t>
        </is>
      </c>
      <c r="L12" s="2" t="inlineStr">
        <is>
          <t>Yes</t>
        </is>
      </c>
      <c r="M12" s="2" t="inlineStr">
        <is>
          <t>Likely</t>
        </is>
      </c>
      <c r="N12" s="2" t="inlineStr">
        <is>
          <t>Y</t>
        </is>
      </c>
      <c r="O12" s="2" t="inlineStr">
        <is>
          <t>N</t>
        </is>
      </c>
      <c r="P12" s="2">
        <f>IF(O12="Y",10,0)+IF(G12="Critical",65,IF(G12="High",60,IF(G12="Medium",50,IF(G12="Low",35,0))))</f>
        <v/>
      </c>
      <c r="Q12" s="2" t="inlineStr">
        <is>
          <t>Improper Verification of Cryptographic Signature, Insufficient Credential Protection, OS Command Injection, Hard-coded Credentials, SSRF</t>
        </is>
      </c>
      <c r="R12" s="2" t="inlineStr">
        <is>
          <t>YSSD-RTMP-H5 firmware 3.3.2.4_build_2024-12-26</t>
        </is>
      </c>
      <c r="S12" s="2" t="inlineStr">
        <is>
          <t>Unknown</t>
        </is>
      </c>
      <c r="T12" s="2" t="inlineStr">
        <is>
          <t>CWE-1188, CWE-1391, CWE-347, CWE-489, CWE-522, CWE-754, CWE-78, CWE-798, CWE-918</t>
        </is>
      </c>
      <c r="U12" s="2" t="inlineStr">
        <is>
          <t>https://www.cisa.gov/news-events/ics-advisories/icsa-26-272-05</t>
        </is>
      </c>
      <c r="V12" s="2" t="inlineStr">
        <is>
          <t>China</t>
        </is>
      </c>
      <c r="W12" s="2" t="inlineStr">
        <is>
          <t>Worldwide</t>
        </is>
      </c>
      <c r="X12" s="2" t="inlineStr"/>
      <c r="Y12" s="2" t="inlineStr">
        <is>
          <t>csv</t>
        </is>
      </c>
    </row>
    <row r="13">
      <c r="A13" s="2" t="inlineStr">
        <is>
          <t>ICSA-26-272-05</t>
        </is>
      </c>
      <c r="B13" s="2" t="inlineStr">
        <is>
          <t>CVE-2026-100295</t>
        </is>
      </c>
      <c r="C13" s="2" t="inlineStr">
        <is>
          <t>Anjvision YSSD-RTMP-H5</t>
        </is>
      </c>
      <c r="D13" s="2" t="inlineStr">
        <is>
          <t>Anjvision</t>
        </is>
      </c>
      <c r="E13" s="2" t="inlineStr">
        <is>
          <t>Anjvision YSSD-RTMP-H5</t>
        </is>
      </c>
      <c r="F13" s="2" t="inlineStr">
        <is>
          <t>9.8</t>
        </is>
      </c>
      <c r="G13" s="2" t="inlineStr">
        <is>
          <t>critical</t>
        </is>
      </c>
      <c r="H13" s="2" t="inlineStr">
        <is>
          <t>9/29/2026</t>
        </is>
      </c>
      <c r="I13" s="2" t="inlineStr">
        <is>
          <t>9/29/2026</t>
        </is>
      </c>
      <c r="J13" s="2" t="inlineStr"/>
      <c r="K13" s="2" t="inlineStr">
        <is>
          <t>Commercial Facilities</t>
        </is>
      </c>
      <c r="L13" s="2" t="inlineStr">
        <is>
          <t>Yes</t>
        </is>
      </c>
      <c r="M13" s="2" t="inlineStr">
        <is>
          <t>Likely</t>
        </is>
      </c>
      <c r="N13" s="2" t="inlineStr">
        <is>
          <t>Y</t>
        </is>
      </c>
      <c r="O13" s="2" t="inlineStr">
        <is>
          <t>N</t>
        </is>
      </c>
      <c r="P13" s="2">
        <f>IF(O13="Y",10,0)+IF(G13="Critical",65,IF(G13="High",60,IF(G13="Medium",50,IF(G13="Low",35,0))))</f>
        <v/>
      </c>
      <c r="Q13" s="2" t="inlineStr">
        <is>
          <t>Improper Verification of Cryptographic Signature, Insufficient Credential Protection, OS Command Injection, Hard-coded Credentials, SSRF</t>
        </is>
      </c>
      <c r="R13" s="2" t="inlineStr">
        <is>
          <t>YSSD-RTMP-H5 firmware 3.3.2.4_build_2024-12-26</t>
        </is>
      </c>
      <c r="S13" s="2" t="inlineStr">
        <is>
          <t>Unknown</t>
        </is>
      </c>
      <c r="T13" s="2" t="inlineStr">
        <is>
          <t>CWE-1188, CWE-1391, CWE-347, CWE-489, CWE-522, CWE-754, CWE-78, CWE-798, CWE-918</t>
        </is>
      </c>
      <c r="U13" s="2" t="inlineStr">
        <is>
          <t>https://www.cisa.gov/news-events/ics-advisories/icsa-26-272-05</t>
        </is>
      </c>
      <c r="V13" s="2" t="inlineStr">
        <is>
          <t>China</t>
        </is>
      </c>
      <c r="W13" s="2" t="inlineStr">
        <is>
          <t>Worldwide</t>
        </is>
      </c>
      <c r="X13" s="2" t="inlineStr"/>
      <c r="Y13" s="2" t="inlineStr">
        <is>
          <t>csv</t>
        </is>
      </c>
    </row>
    <row r="14">
      <c r="A14" s="2" t="inlineStr">
        <is>
          <t>ICSA-26-272-05</t>
        </is>
      </c>
      <c r="B14" s="2" t="inlineStr">
        <is>
          <t>CVE-2026-100296</t>
        </is>
      </c>
      <c r="C14" s="2" t="inlineStr">
        <is>
          <t>Anjvision YSSD-RTMP-H5</t>
        </is>
      </c>
      <c r="D14" s="2" t="inlineStr">
        <is>
          <t>Anjvision</t>
        </is>
      </c>
      <c r="E14" s="2" t="inlineStr">
        <is>
          <t>Anjvision YSSD-RTMP-H5</t>
        </is>
      </c>
      <c r="F14" s="2" t="inlineStr">
        <is>
          <t>9.8</t>
        </is>
      </c>
      <c r="G14" s="2" t="inlineStr">
        <is>
          <t>critical</t>
        </is>
      </c>
      <c r="H14" s="2" t="inlineStr">
        <is>
          <t>9/29/2026</t>
        </is>
      </c>
      <c r="I14" s="2" t="inlineStr">
        <is>
          <t>9/29/2026</t>
        </is>
      </c>
      <c r="J14" s="2" t="inlineStr"/>
      <c r="K14" s="2" t="inlineStr">
        <is>
          <t>Commercial Facilities</t>
        </is>
      </c>
      <c r="L14" s="2" t="inlineStr">
        <is>
          <t>Yes</t>
        </is>
      </c>
      <c r="M14" s="2" t="inlineStr">
        <is>
          <t>Likely</t>
        </is>
      </c>
      <c r="N14" s="2" t="inlineStr">
        <is>
          <t>Y</t>
        </is>
      </c>
      <c r="O14" s="2" t="inlineStr">
        <is>
          <t>N</t>
        </is>
      </c>
      <c r="P14" s="2">
        <f>IF(O14="Y",10,0)+IF(G14="Critical",65,IF(G14="High",60,IF(G14="Medium",50,IF(G14="Low",35,0))))</f>
        <v/>
      </c>
      <c r="Q14" s="2" t="inlineStr">
        <is>
          <t>Improper Verification of Cryptographic Signature, Insufficient Credential Protection, OS Command Injection, Hard-coded Credentials, SSRF</t>
        </is>
      </c>
      <c r="R14" s="2" t="inlineStr">
        <is>
          <t>YSSD-RTMP-H5 firmware 3.3.2.4_build_2024-12-26</t>
        </is>
      </c>
      <c r="S14" s="2" t="inlineStr">
        <is>
          <t>Unknown</t>
        </is>
      </c>
      <c r="T14" s="2" t="inlineStr">
        <is>
          <t>CWE-1188, CWE-1391, CWE-347, CWE-489, CWE-522, CWE-754, CWE-78, CWE-798, CWE-918</t>
        </is>
      </c>
      <c r="U14" s="2" t="inlineStr">
        <is>
          <t>https://www.cisa.gov/news-events/ics-advisories/icsa-26-272-05</t>
        </is>
      </c>
      <c r="V14" s="2" t="inlineStr">
        <is>
          <t>China</t>
        </is>
      </c>
      <c r="W14" s="2" t="inlineStr">
        <is>
          <t>Worldwide</t>
        </is>
      </c>
      <c r="X14" s="2" t="inlineStr"/>
      <c r="Y14" s="2" t="inlineStr">
        <is>
          <t>csv</t>
        </is>
      </c>
    </row>
    <row r="15">
      <c r="A15" s="2" t="inlineStr">
        <is>
          <t>ICSA-26-272-05</t>
        </is>
      </c>
      <c r="B15" s="2" t="inlineStr">
        <is>
          <t>CVE-2026-100297</t>
        </is>
      </c>
      <c r="C15" s="2" t="inlineStr">
        <is>
          <t>Anjvision YSSD-RTMP-H5</t>
        </is>
      </c>
      <c r="D15" s="2" t="inlineStr">
        <is>
          <t>Anjvision</t>
        </is>
      </c>
      <c r="E15" s="2" t="inlineStr">
        <is>
          <t>Anjvision YSSD-RTMP-H5</t>
        </is>
      </c>
      <c r="F15" s="2" t="inlineStr">
        <is>
          <t>9.8</t>
        </is>
      </c>
      <c r="G15" s="2" t="inlineStr">
        <is>
          <t>critical</t>
        </is>
      </c>
      <c r="H15" s="2" t="inlineStr">
        <is>
          <t>9/29/2026</t>
        </is>
      </c>
      <c r="I15" s="2" t="inlineStr">
        <is>
          <t>9/29/2026</t>
        </is>
      </c>
      <c r="J15" s="2" t="inlineStr"/>
      <c r="K15" s="2" t="inlineStr">
        <is>
          <t>Commercial Facilities</t>
        </is>
      </c>
      <c r="L15" s="2" t="inlineStr">
        <is>
          <t>Yes</t>
        </is>
      </c>
      <c r="M15" s="2" t="inlineStr">
        <is>
          <t>Likely</t>
        </is>
      </c>
      <c r="N15" s="2" t="inlineStr">
        <is>
          <t>Y</t>
        </is>
      </c>
      <c r="O15" s="2" t="inlineStr">
        <is>
          <t>N</t>
        </is>
      </c>
      <c r="P15" s="2">
        <f>IF(O15="Y",10,0)+IF(G15="Critical",65,IF(G15="High",60,IF(G15="Medium",50,IF(G15="Low",35,0))))</f>
        <v/>
      </c>
      <c r="Q15" s="2" t="inlineStr">
        <is>
          <t>Improper Verification of Cryptographic Signature, Insufficient Credential Protection, OS Command Injection, Hard-coded Credentials, SSRF</t>
        </is>
      </c>
      <c r="R15" s="2" t="inlineStr">
        <is>
          <t>YSSD-RTMP-H5 firmware 3.3.2.4_build_2024-12-26</t>
        </is>
      </c>
      <c r="S15" s="2" t="inlineStr">
        <is>
          <t>Unknown</t>
        </is>
      </c>
      <c r="T15" s="2" t="inlineStr">
        <is>
          <t>CWE-1188, CWE-1391, CWE-347, CWE-489, CWE-522, CWE-754, CWE-78, CWE-798, CWE-918</t>
        </is>
      </c>
      <c r="U15" s="2" t="inlineStr">
        <is>
          <t>https://www.cisa.gov/news-events/ics-advisories/icsa-26-272-05</t>
        </is>
      </c>
      <c r="V15" s="2" t="inlineStr">
        <is>
          <t>China</t>
        </is>
      </c>
      <c r="W15" s="2" t="inlineStr">
        <is>
          <t>Worldwide</t>
        </is>
      </c>
      <c r="X15" s="2" t="inlineStr"/>
      <c r="Y15" s="2" t="inlineStr">
        <is>
          <t>csv</t>
        </is>
      </c>
    </row>
    <row r="16">
      <c r="A16" s="2" t="inlineStr">
        <is>
          <t>ICSA-26-272-05</t>
        </is>
      </c>
      <c r="B16" s="2" t="inlineStr">
        <is>
          <t>CVE-2026-100298</t>
        </is>
      </c>
      <c r="C16" s="2" t="inlineStr">
        <is>
          <t>Anjvision YSSD-RTMP-H5</t>
        </is>
      </c>
      <c r="D16" s="2" t="inlineStr">
        <is>
          <t>Anjvision</t>
        </is>
      </c>
      <c r="E16" s="2" t="inlineStr">
        <is>
          <t>Anjvision YSSD-RTMP-H5</t>
        </is>
      </c>
      <c r="F16" s="2" t="inlineStr">
        <is>
          <t>9.8</t>
        </is>
      </c>
      <c r="G16" s="2" t="inlineStr">
        <is>
          <t>critical</t>
        </is>
      </c>
      <c r="H16" s="2" t="inlineStr">
        <is>
          <t>9/29/2026</t>
        </is>
      </c>
      <c r="I16" s="2" t="inlineStr">
        <is>
          <t>9/29/2026</t>
        </is>
      </c>
      <c r="J16" s="2" t="inlineStr"/>
      <c r="K16" s="2" t="inlineStr">
        <is>
          <t>Commercial Facilities</t>
        </is>
      </c>
      <c r="L16" s="2" t="inlineStr">
        <is>
          <t>Yes</t>
        </is>
      </c>
      <c r="M16" s="2" t="inlineStr">
        <is>
          <t>Likely</t>
        </is>
      </c>
      <c r="N16" s="2" t="inlineStr">
        <is>
          <t>Y</t>
        </is>
      </c>
      <c r="O16" s="2" t="inlineStr">
        <is>
          <t>N</t>
        </is>
      </c>
      <c r="P16" s="2">
        <f>IF(O16="Y",10,0)+IF(G16="Critical",65,IF(G16="High",60,IF(G16="Medium",50,IF(G16="Low",35,0))))</f>
        <v/>
      </c>
      <c r="Q16" s="2" t="inlineStr">
        <is>
          <t>Improper Verification of Cryptographic Signature, Insufficient Credential Protection, OS Command Injection, Hard-coded Credentials, SSRF</t>
        </is>
      </c>
      <c r="R16" s="2" t="inlineStr">
        <is>
          <t>YSSD-RTMP-H5 firmware 3.3.2.4_build_2024-12-26</t>
        </is>
      </c>
      <c r="S16" s="2" t="inlineStr">
        <is>
          <t>Unknown</t>
        </is>
      </c>
      <c r="T16" s="2" t="inlineStr">
        <is>
          <t>CWE-1188, CWE-1391, CWE-347, CWE-489, CWE-522, CWE-754, CWE-78, CWE-798, CWE-918</t>
        </is>
      </c>
      <c r="U16" s="2" t="inlineStr">
        <is>
          <t>https://www.cisa.gov/news-events/ics-advisories/icsa-26-272-05</t>
        </is>
      </c>
      <c r="V16" s="2" t="inlineStr">
        <is>
          <t>China</t>
        </is>
      </c>
      <c r="W16" s="2" t="inlineStr">
        <is>
          <t>Worldwide</t>
        </is>
      </c>
      <c r="X16" s="2" t="inlineStr"/>
      <c r="Y16" s="2" t="inlineStr">
        <is>
          <t>csv</t>
        </is>
      </c>
    </row>
    <row r="17">
      <c r="A17" s="2" t="inlineStr">
        <is>
          <t>ICSA-26-272-05</t>
        </is>
      </c>
      <c r="B17" s="2" t="inlineStr">
        <is>
          <t>CVE-2026-100299</t>
        </is>
      </c>
      <c r="C17" s="2" t="inlineStr">
        <is>
          <t>Anjvision YSSD-RTMP-H5</t>
        </is>
      </c>
      <c r="D17" s="2" t="inlineStr">
        <is>
          <t>Anjvision</t>
        </is>
      </c>
      <c r="E17" s="2" t="inlineStr">
        <is>
          <t>Anjvision YSSD-RTMP-H5</t>
        </is>
      </c>
      <c r="F17" s="2" t="inlineStr">
        <is>
          <t>9.8</t>
        </is>
      </c>
      <c r="G17" s="2" t="inlineStr">
        <is>
          <t>critical</t>
        </is>
      </c>
      <c r="H17" s="2" t="inlineStr">
        <is>
          <t>9/29/2026</t>
        </is>
      </c>
      <c r="I17" s="2" t="inlineStr">
        <is>
          <t>9/29/2026</t>
        </is>
      </c>
      <c r="J17" s="2" t="inlineStr"/>
      <c r="K17" s="2" t="inlineStr">
        <is>
          <t>Commercial Facilities</t>
        </is>
      </c>
      <c r="L17" s="2" t="inlineStr">
        <is>
          <t>Yes</t>
        </is>
      </c>
      <c r="M17" s="2" t="inlineStr">
        <is>
          <t>Likely</t>
        </is>
      </c>
      <c r="N17" s="2" t="inlineStr">
        <is>
          <t>Y</t>
        </is>
      </c>
      <c r="O17" s="2" t="inlineStr">
        <is>
          <t>N</t>
        </is>
      </c>
      <c r="P17" s="2">
        <f>IF(O17="Y",10,0)+IF(G17="Critical",65,IF(G17="High",60,IF(G17="Medium",50,IF(G17="Low",35,0))))</f>
        <v/>
      </c>
      <c r="Q17" s="2" t="inlineStr">
        <is>
          <t>Improper Verification of Cryptographic Signature, Insufficient Credential Protection, OS Command Injection, Hard-coded Credentials, SSRF</t>
        </is>
      </c>
      <c r="R17" s="2" t="inlineStr">
        <is>
          <t>YSSD-RTMP-H5 firmware 3.3.2.4_build_2024-12-26</t>
        </is>
      </c>
      <c r="S17" s="2" t="inlineStr">
        <is>
          <t>Unknown</t>
        </is>
      </c>
      <c r="T17" s="2" t="inlineStr">
        <is>
          <t>CWE-1188, CWE-1391, CWE-347, CWE-489, CWE-522, CWE-754, CWE-78, CWE-798, CWE-918</t>
        </is>
      </c>
      <c r="U17" s="2" t="inlineStr">
        <is>
          <t>https://www.cisa.gov/news-events/ics-advisories/icsa-26-272-05</t>
        </is>
      </c>
      <c r="V17" s="2" t="inlineStr">
        <is>
          <t>China</t>
        </is>
      </c>
      <c r="W17" s="2" t="inlineStr">
        <is>
          <t>Worldwide</t>
        </is>
      </c>
      <c r="X17" s="2" t="inlineStr"/>
      <c r="Y17" s="2" t="inlineStr">
        <is>
          <t>csv</t>
        </is>
      </c>
    </row>
    <row r="18">
      <c r="A18" s="2" t="inlineStr">
        <is>
          <t>ICSA-26-272-04</t>
        </is>
      </c>
      <c r="B18" s="2" t="inlineStr">
        <is>
          <t>CVE-2026-96274</t>
        </is>
      </c>
      <c r="C18" s="2" t="inlineStr">
        <is>
          <t>Baicells Nova 430H</t>
        </is>
      </c>
      <c r="D18" s="2" t="inlineStr">
        <is>
          <t>Baicells Technologies</t>
        </is>
      </c>
      <c r="E18" s="2" t="inlineStr">
        <is>
          <t>Baicells Nova 430H</t>
        </is>
      </c>
      <c r="F18" s="2" t="inlineStr">
        <is>
          <t>7.4</t>
        </is>
      </c>
      <c r="G18" s="2" t="inlineStr">
        <is>
          <t>high</t>
        </is>
      </c>
      <c r="H18" s="2" t="inlineStr">
        <is>
          <t>9/29/2026</t>
        </is>
      </c>
      <c r="I18" s="2" t="inlineStr">
        <is>
          <t>9/29/2026</t>
        </is>
      </c>
      <c r="J18" s="2" t="inlineStr"/>
      <c r="K18" s="2" t="inlineStr">
        <is>
          <t>Communications; Information Technology</t>
        </is>
      </c>
      <c r="L18" s="2" t="inlineStr">
        <is>
          <t>Yes</t>
        </is>
      </c>
      <c r="M18" s="2" t="inlineStr">
        <is>
          <t>Likely</t>
        </is>
      </c>
      <c r="N18" s="2" t="inlineStr">
        <is>
          <t>Y</t>
        </is>
      </c>
      <c r="O18" s="2" t="inlineStr">
        <is>
          <t>N</t>
        </is>
      </c>
      <c r="P18" s="2">
        <f>IF(O18="Y",10,0)+IF(G18="Critical",65,IF(G18="High",60,IF(G18="Medium",50,IF(G18="Low",35,0))))</f>
        <v/>
      </c>
      <c r="Q18" s="2" t="inlineStr">
        <is>
          <t>Unknown</t>
        </is>
      </c>
      <c r="R18" s="2" t="inlineStr">
        <is>
          <t>Nova 430H eNodeB (model pBS3101SH) &lt;=BaiBLQ_3.0.12</t>
        </is>
      </c>
      <c r="S18" s="2" t="inlineStr">
        <is>
          <t>BaiBLQ_3.0.12</t>
        </is>
      </c>
      <c r="T18" s="2" t="inlineStr">
        <is>
          <t>CWE-248</t>
        </is>
      </c>
      <c r="U18" s="2" t="inlineStr">
        <is>
          <t>https://www.cisa.gov/news-events/ics-advisories/icsa-26-272-04</t>
        </is>
      </c>
      <c r="V18" s="2" t="inlineStr">
        <is>
          <t>United States</t>
        </is>
      </c>
      <c r="W18" s="2" t="inlineStr">
        <is>
          <t>Worldwide</t>
        </is>
      </c>
      <c r="X18" s="2" t="inlineStr"/>
      <c r="Y18" s="2" t="inlineStr">
        <is>
          <t>csv</t>
        </is>
      </c>
    </row>
    <row r="19">
      <c r="A19" s="2" t="inlineStr">
        <is>
          <t>ICSA-26-272-03</t>
        </is>
      </c>
      <c r="B19" s="2" t="inlineStr">
        <is>
          <t>CVE-2026-22755</t>
        </is>
      </c>
      <c r="C19" s="2" t="inlineStr">
        <is>
          <t>VIVOTEK Camera Firmware</t>
        </is>
      </c>
      <c r="D19" s="2" t="inlineStr">
        <is>
          <t>VIVOTEK</t>
        </is>
      </c>
      <c r="E19" s="2" t="inlineStr">
        <is>
          <t>VIVOTEK Camera Firmware</t>
        </is>
      </c>
      <c r="F19" s="2" t="inlineStr">
        <is>
          <t>10.0</t>
        </is>
      </c>
      <c r="G19" s="2" t="inlineStr">
        <is>
          <t>critical</t>
        </is>
      </c>
      <c r="H19" s="2" t="inlineStr">
        <is>
          <t>9/29/2026</t>
        </is>
      </c>
      <c r="I19" s="2" t="inlineStr">
        <is>
          <t>9/29/2026</t>
        </is>
      </c>
      <c r="J19" s="2" t="inlineStr">
        <is>
          <t>2026-01-13T15:12:53.126Z</t>
        </is>
      </c>
      <c r="K19" s="2" t="inlineStr">
        <is>
          <t>Government Facilities; Transportation Systems; Commercial Facilities; Energy; Critical Manufacturing; Financial Services</t>
        </is>
      </c>
      <c r="L19" s="2" t="inlineStr">
        <is>
          <t>Yes</t>
        </is>
      </c>
      <c r="M19" s="2" t="inlineStr">
        <is>
          <t>Likely</t>
        </is>
      </c>
      <c r="N19" s="2" t="inlineStr">
        <is>
          <t>Y</t>
        </is>
      </c>
      <c r="O19" s="2" t="inlineStr">
        <is>
          <t>N</t>
        </is>
      </c>
      <c r="P19" s="2">
        <f>IF(O19="Y",10,0)+IF(G19="Critical",65,IF(G19="High",60,IF(G19="Medium",50,IF(G19="Low",35,0))))</f>
        <v/>
      </c>
      <c r="Q19" s="2" t="inlineStr">
        <is>
          <t>Command Injection</t>
        </is>
      </c>
      <c r="R19" s="2" t="inlineStr">
        <is>
          <t>V Series model_FD9187 | V Series model_FD9189 | V Series model_FD9365 | V Series model_FD9387 | V Series model_FD9389 | V Series model_FD9391 | C Series model_FE9180 | V Series model_FE9191 | V Ser…</t>
        </is>
      </c>
      <c r="S19" s="2" t="inlineStr">
        <is>
          <t>Unknown</t>
        </is>
      </c>
      <c r="T19" s="2" t="inlineStr">
        <is>
          <t>CWE-77</t>
        </is>
      </c>
      <c r="U19" s="2" t="inlineStr">
        <is>
          <t>https://www.cisa.gov/news-events/ics-advisories/icsa-26-272-03</t>
        </is>
      </c>
      <c r="V19" s="2" t="inlineStr">
        <is>
          <t>Taiwan</t>
        </is>
      </c>
      <c r="W19" s="2" t="inlineStr">
        <is>
          <t>Worldwide</t>
        </is>
      </c>
      <c r="X19" s="2" t="inlineStr"/>
      <c r="Y19" s="2" t="inlineStr">
        <is>
          <t>csv</t>
        </is>
      </c>
    </row>
    <row r="20">
      <c r="A20" s="2" t="inlineStr">
        <is>
          <t>ICSA-26-272-02</t>
        </is>
      </c>
      <c r="B20" s="2" t="inlineStr">
        <is>
          <t>CVE-2026-71379</t>
        </is>
      </c>
      <c r="C20" s="2" t="inlineStr">
        <is>
          <t>Toptech TMS7 and TopHAT</t>
        </is>
      </c>
      <c r="D20" s="2" t="inlineStr">
        <is>
          <t>Toptech Systems</t>
        </is>
      </c>
      <c r="E20" s="2" t="inlineStr">
        <is>
          <t>Toptech TMS7 and TopHAT</t>
        </is>
      </c>
      <c r="F20" s="2" t="inlineStr">
        <is>
          <t>10.0</t>
        </is>
      </c>
      <c r="G20" s="2" t="inlineStr">
        <is>
          <t>critical</t>
        </is>
      </c>
      <c r="H20" s="2" t="inlineStr">
        <is>
          <t>9/29/2026</t>
        </is>
      </c>
      <c r="I20" s="2" t="inlineStr">
        <is>
          <t>9/29/2026</t>
        </is>
      </c>
      <c r="J20" s="2" t="inlineStr"/>
      <c r="K20" s="2" t="inlineStr">
        <is>
          <t>Energy; Chemical; Transportation Systems</t>
        </is>
      </c>
      <c r="L20" s="2" t="inlineStr">
        <is>
          <t>Yes</t>
        </is>
      </c>
      <c r="M20" s="2" t="inlineStr">
        <is>
          <t>Likely</t>
        </is>
      </c>
      <c r="N20" s="2" t="inlineStr">
        <is>
          <t>Y</t>
        </is>
      </c>
      <c r="O20" s="2" t="inlineStr">
        <is>
          <t>N</t>
        </is>
      </c>
      <c r="P20" s="2">
        <f>IF(O20="Y",10,0)+IF(G20="Critical",65,IF(G20="High",60,IF(G20="Medium",50,IF(G20="Low",35,0))))</f>
        <v/>
      </c>
      <c r="Q20" s="2" t="inlineStr">
        <is>
          <t>Unrestricted File Upload, Cross-Site Scripting, SQL Injection</t>
        </is>
      </c>
      <c r="R20" s="2" t="inlineStr">
        <is>
          <t>TMS7 7.6.3 | TopHAT 7.6.3</t>
        </is>
      </c>
      <c r="S20" s="2" t="inlineStr">
        <is>
          <t>Unknown</t>
        </is>
      </c>
      <c r="T20" s="2" t="inlineStr">
        <is>
          <t>CWE-384, CWE-434, CWE-552, CWE-79, CWE-89, CWE-95</t>
        </is>
      </c>
      <c r="U20" s="2" t="inlineStr">
        <is>
          <t>https://www.cisa.gov/news-events/ics-advisories/icsa-26-272-02</t>
        </is>
      </c>
      <c r="V20" s="2" t="inlineStr">
        <is>
          <t>United States</t>
        </is>
      </c>
      <c r="W20" s="2" t="inlineStr">
        <is>
          <t>Worldwide</t>
        </is>
      </c>
      <c r="X20" s="2" t="inlineStr"/>
      <c r="Y20" s="2" t="inlineStr">
        <is>
          <t>csv</t>
        </is>
      </c>
    </row>
    <row r="21">
      <c r="A21" s="2" t="inlineStr">
        <is>
          <t>ICSA-26-272-02</t>
        </is>
      </c>
      <c r="B21" s="2" t="inlineStr">
        <is>
          <t>CVE-2026-70356</t>
        </is>
      </c>
      <c r="C21" s="2" t="inlineStr">
        <is>
          <t>Toptech TMS7 and TopHAT</t>
        </is>
      </c>
      <c r="D21" s="2" t="inlineStr">
        <is>
          <t>Toptech Systems</t>
        </is>
      </c>
      <c r="E21" s="2" t="inlineStr">
        <is>
          <t>Toptech TMS7 and TopHAT</t>
        </is>
      </c>
      <c r="F21" s="2" t="inlineStr">
        <is>
          <t>10.0</t>
        </is>
      </c>
      <c r="G21" s="2" t="inlineStr">
        <is>
          <t>critical</t>
        </is>
      </c>
      <c r="H21" s="2" t="inlineStr">
        <is>
          <t>9/29/2026</t>
        </is>
      </c>
      <c r="I21" s="2" t="inlineStr">
        <is>
          <t>9/29/2026</t>
        </is>
      </c>
      <c r="J21" s="2" t="inlineStr"/>
      <c r="K21" s="2" t="inlineStr">
        <is>
          <t>Energy; Chemical; Transportation Systems</t>
        </is>
      </c>
      <c r="L21" s="2" t="inlineStr">
        <is>
          <t>Yes</t>
        </is>
      </c>
      <c r="M21" s="2" t="inlineStr">
        <is>
          <t>Likely</t>
        </is>
      </c>
      <c r="N21" s="2" t="inlineStr">
        <is>
          <t>Y</t>
        </is>
      </c>
      <c r="O21" s="2" t="inlineStr">
        <is>
          <t>N</t>
        </is>
      </c>
      <c r="P21" s="2">
        <f>IF(O21="Y",10,0)+IF(G21="Critical",65,IF(G21="High",60,IF(G21="Medium",50,IF(G21="Low",35,0))))</f>
        <v/>
      </c>
      <c r="Q21" s="2" t="inlineStr">
        <is>
          <t>Unrestricted File Upload, Cross-Site Scripting, SQL Injection</t>
        </is>
      </c>
      <c r="R21" s="2" t="inlineStr">
        <is>
          <t>TMS7 7.6.3 | TopHAT 7.6.3</t>
        </is>
      </c>
      <c r="S21" s="2" t="inlineStr">
        <is>
          <t>Unknown</t>
        </is>
      </c>
      <c r="T21" s="2" t="inlineStr">
        <is>
          <t>CWE-384, CWE-434, CWE-552, CWE-79, CWE-89, CWE-95</t>
        </is>
      </c>
      <c r="U21" s="2" t="inlineStr">
        <is>
          <t>https://www.cisa.gov/news-events/ics-advisories/icsa-26-272-02</t>
        </is>
      </c>
      <c r="V21" s="2" t="inlineStr">
        <is>
          <t>United States</t>
        </is>
      </c>
      <c r="W21" s="2" t="inlineStr">
        <is>
          <t>Worldwide</t>
        </is>
      </c>
      <c r="X21" s="2" t="inlineStr"/>
      <c r="Y21" s="2" t="inlineStr">
        <is>
          <t>csv</t>
        </is>
      </c>
    </row>
    <row r="22">
      <c r="A22" s="2" t="inlineStr">
        <is>
          <t>ICSA-26-272-02</t>
        </is>
      </c>
      <c r="B22" s="2" t="inlineStr">
        <is>
          <t>CVE-2026-72510</t>
        </is>
      </c>
      <c r="C22" s="2" t="inlineStr">
        <is>
          <t>Toptech TMS7 and TopHAT</t>
        </is>
      </c>
      <c r="D22" s="2" t="inlineStr">
        <is>
          <t>Toptech Systems</t>
        </is>
      </c>
      <c r="E22" s="2" t="inlineStr">
        <is>
          <t>Toptech TMS7 and TopHAT</t>
        </is>
      </c>
      <c r="F22" s="2" t="inlineStr">
        <is>
          <t>10.0</t>
        </is>
      </c>
      <c r="G22" s="2" t="inlineStr">
        <is>
          <t>critical</t>
        </is>
      </c>
      <c r="H22" s="2" t="inlineStr">
        <is>
          <t>9/29/2026</t>
        </is>
      </c>
      <c r="I22" s="2" t="inlineStr">
        <is>
          <t>9/29/2026</t>
        </is>
      </c>
      <c r="J22" s="2" t="inlineStr"/>
      <c r="K22" s="2" t="inlineStr">
        <is>
          <t>Energy; Chemical; Transportation Systems</t>
        </is>
      </c>
      <c r="L22" s="2" t="inlineStr">
        <is>
          <t>Yes</t>
        </is>
      </c>
      <c r="M22" s="2" t="inlineStr">
        <is>
          <t>Likely</t>
        </is>
      </c>
      <c r="N22" s="2" t="inlineStr">
        <is>
          <t>Y</t>
        </is>
      </c>
      <c r="O22" s="2" t="inlineStr">
        <is>
          <t>N</t>
        </is>
      </c>
      <c r="P22" s="2">
        <f>IF(O22="Y",10,0)+IF(G22="Critical",65,IF(G22="High",60,IF(G22="Medium",50,IF(G22="Low",35,0))))</f>
        <v/>
      </c>
      <c r="Q22" s="2" t="inlineStr">
        <is>
          <t>Unrestricted File Upload, Cross-Site Scripting, SQL Injection</t>
        </is>
      </c>
      <c r="R22" s="2" t="inlineStr">
        <is>
          <t>TMS7 7.6.3 | TopHAT 7.6.3</t>
        </is>
      </c>
      <c r="S22" s="2" t="inlineStr">
        <is>
          <t>Unknown</t>
        </is>
      </c>
      <c r="T22" s="2" t="inlineStr">
        <is>
          <t>CWE-384, CWE-434, CWE-552, CWE-79, CWE-89, CWE-95</t>
        </is>
      </c>
      <c r="U22" s="2" t="inlineStr">
        <is>
          <t>https://www.cisa.gov/news-events/ics-advisories/icsa-26-272-02</t>
        </is>
      </c>
      <c r="V22" s="2" t="inlineStr">
        <is>
          <t>United States</t>
        </is>
      </c>
      <c r="W22" s="2" t="inlineStr">
        <is>
          <t>Worldwide</t>
        </is>
      </c>
      <c r="X22" s="2" t="inlineStr"/>
      <c r="Y22" s="2" t="inlineStr">
        <is>
          <t>csv</t>
        </is>
      </c>
    </row>
    <row r="23">
      <c r="A23" s="2" t="inlineStr">
        <is>
          <t>ICSA-26-272-02</t>
        </is>
      </c>
      <c r="B23" s="2" t="inlineStr">
        <is>
          <t>CVE-2026-63713</t>
        </is>
      </c>
      <c r="C23" s="2" t="inlineStr">
        <is>
          <t>Toptech TMS7 and TopHAT</t>
        </is>
      </c>
      <c r="D23" s="2" t="inlineStr">
        <is>
          <t>Toptech Systems</t>
        </is>
      </c>
      <c r="E23" s="2" t="inlineStr">
        <is>
          <t>Toptech TMS7 and TopHAT</t>
        </is>
      </c>
      <c r="F23" s="2" t="inlineStr">
        <is>
          <t>10.0</t>
        </is>
      </c>
      <c r="G23" s="2" t="inlineStr">
        <is>
          <t>critical</t>
        </is>
      </c>
      <c r="H23" s="2" t="inlineStr">
        <is>
          <t>9/29/2026</t>
        </is>
      </c>
      <c r="I23" s="2" t="inlineStr">
        <is>
          <t>9/29/2026</t>
        </is>
      </c>
      <c r="J23" s="2" t="inlineStr"/>
      <c r="K23" s="2" t="inlineStr">
        <is>
          <t>Energy; Chemical; Transportation Systems</t>
        </is>
      </c>
      <c r="L23" s="2" t="inlineStr">
        <is>
          <t>Yes</t>
        </is>
      </c>
      <c r="M23" s="2" t="inlineStr">
        <is>
          <t>Likely</t>
        </is>
      </c>
      <c r="N23" s="2" t="inlineStr">
        <is>
          <t>Y</t>
        </is>
      </c>
      <c r="O23" s="2" t="inlineStr">
        <is>
          <t>N</t>
        </is>
      </c>
      <c r="P23" s="2">
        <f>IF(O23="Y",10,0)+IF(G23="Critical",65,IF(G23="High",60,IF(G23="Medium",50,IF(G23="Low",35,0))))</f>
        <v/>
      </c>
      <c r="Q23" s="2" t="inlineStr">
        <is>
          <t>Unrestricted File Upload, Cross-Site Scripting, SQL Injection</t>
        </is>
      </c>
      <c r="R23" s="2" t="inlineStr">
        <is>
          <t>TMS7 7.6.3 | TopHAT 7.6.3</t>
        </is>
      </c>
      <c r="S23" s="2" t="inlineStr">
        <is>
          <t>Unknown</t>
        </is>
      </c>
      <c r="T23" s="2" t="inlineStr">
        <is>
          <t>CWE-384, CWE-434, CWE-552, CWE-79, CWE-89, CWE-95</t>
        </is>
      </c>
      <c r="U23" s="2" t="inlineStr">
        <is>
          <t>https://www.cisa.gov/news-events/ics-advisories/icsa-26-272-02</t>
        </is>
      </c>
      <c r="V23" s="2" t="inlineStr">
        <is>
          <t>United States</t>
        </is>
      </c>
      <c r="W23" s="2" t="inlineStr">
        <is>
          <t>Worldwide</t>
        </is>
      </c>
      <c r="X23" s="2" t="inlineStr"/>
      <c r="Y23" s="2" t="inlineStr">
        <is>
          <t>csv</t>
        </is>
      </c>
    </row>
    <row r="24">
      <c r="A24" s="2" t="inlineStr">
        <is>
          <t>ICSA-26-272-02</t>
        </is>
      </c>
      <c r="B24" s="2" t="inlineStr">
        <is>
          <t>CVE-2026-68954</t>
        </is>
      </c>
      <c r="C24" s="2" t="inlineStr">
        <is>
          <t>Toptech TMS7 and TopHAT</t>
        </is>
      </c>
      <c r="D24" s="2" t="inlineStr">
        <is>
          <t>Toptech Systems</t>
        </is>
      </c>
      <c r="E24" s="2" t="inlineStr">
        <is>
          <t>Toptech TMS7 and TopHAT</t>
        </is>
      </c>
      <c r="F24" s="2" t="inlineStr">
        <is>
          <t>10.0</t>
        </is>
      </c>
      <c r="G24" s="2" t="inlineStr">
        <is>
          <t>critical</t>
        </is>
      </c>
      <c r="H24" s="2" t="inlineStr">
        <is>
          <t>9/29/2026</t>
        </is>
      </c>
      <c r="I24" s="2" t="inlineStr">
        <is>
          <t>9/29/2026</t>
        </is>
      </c>
      <c r="J24" s="2" t="inlineStr"/>
      <c r="K24" s="2" t="inlineStr">
        <is>
          <t>Energy; Chemical; Transportation Systems</t>
        </is>
      </c>
      <c r="L24" s="2" t="inlineStr">
        <is>
          <t>Yes</t>
        </is>
      </c>
      <c r="M24" s="2" t="inlineStr">
        <is>
          <t>Likely</t>
        </is>
      </c>
      <c r="N24" s="2" t="inlineStr">
        <is>
          <t>Y</t>
        </is>
      </c>
      <c r="O24" s="2" t="inlineStr">
        <is>
          <t>N</t>
        </is>
      </c>
      <c r="P24" s="2">
        <f>IF(O24="Y",10,0)+IF(G24="Critical",65,IF(G24="High",60,IF(G24="Medium",50,IF(G24="Low",35,0))))</f>
        <v/>
      </c>
      <c r="Q24" s="2" t="inlineStr">
        <is>
          <t>Unrestricted File Upload, Cross-Site Scripting, SQL Injection</t>
        </is>
      </c>
      <c r="R24" s="2" t="inlineStr">
        <is>
          <t>TMS7 7.6.3 | TopHAT 7.6.3</t>
        </is>
      </c>
      <c r="S24" s="2" t="inlineStr">
        <is>
          <t>Unknown</t>
        </is>
      </c>
      <c r="T24" s="2" t="inlineStr">
        <is>
          <t>CWE-384, CWE-434, CWE-552, CWE-79, CWE-89, CWE-95</t>
        </is>
      </c>
      <c r="U24" s="2" t="inlineStr">
        <is>
          <t>https://www.cisa.gov/news-events/ics-advisories/icsa-26-272-02</t>
        </is>
      </c>
      <c r="V24" s="2" t="inlineStr">
        <is>
          <t>United States</t>
        </is>
      </c>
      <c r="W24" s="2" t="inlineStr">
        <is>
          <t>Worldwide</t>
        </is>
      </c>
      <c r="X24" s="2" t="inlineStr"/>
      <c r="Y24" s="2" t="inlineStr">
        <is>
          <t>csv</t>
        </is>
      </c>
    </row>
    <row r="25">
      <c r="A25" s="2" t="inlineStr">
        <is>
          <t>ICSA-26-272-02</t>
        </is>
      </c>
      <c r="B25" s="2" t="inlineStr">
        <is>
          <t>CVE-2026-68068</t>
        </is>
      </c>
      <c r="C25" s="2" t="inlineStr">
        <is>
          <t>Toptech TMS7 and TopHAT</t>
        </is>
      </c>
      <c r="D25" s="2" t="inlineStr">
        <is>
          <t>Toptech Systems</t>
        </is>
      </c>
      <c r="E25" s="2" t="inlineStr">
        <is>
          <t>Toptech TMS7 and TopHAT</t>
        </is>
      </c>
      <c r="F25" s="2" t="inlineStr">
        <is>
          <t>10.0</t>
        </is>
      </c>
      <c r="G25" s="2" t="inlineStr">
        <is>
          <t>critical</t>
        </is>
      </c>
      <c r="H25" s="2" t="inlineStr">
        <is>
          <t>9/29/2026</t>
        </is>
      </c>
      <c r="I25" s="2" t="inlineStr">
        <is>
          <t>9/29/2026</t>
        </is>
      </c>
      <c r="J25" s="2" t="inlineStr"/>
      <c r="K25" s="2" t="inlineStr">
        <is>
          <t>Energy; Chemical; Transportation Systems</t>
        </is>
      </c>
      <c r="L25" s="2" t="inlineStr">
        <is>
          <t>Yes</t>
        </is>
      </c>
      <c r="M25" s="2" t="inlineStr">
        <is>
          <t>Likely</t>
        </is>
      </c>
      <c r="N25" s="2" t="inlineStr">
        <is>
          <t>Y</t>
        </is>
      </c>
      <c r="O25" s="2" t="inlineStr">
        <is>
          <t>N</t>
        </is>
      </c>
      <c r="P25" s="2">
        <f>IF(O25="Y",10,0)+IF(G25="Critical",65,IF(G25="High",60,IF(G25="Medium",50,IF(G25="Low",35,0))))</f>
        <v/>
      </c>
      <c r="Q25" s="2" t="inlineStr">
        <is>
          <t>Unrestricted File Upload, Cross-Site Scripting, SQL Injection</t>
        </is>
      </c>
      <c r="R25" s="2" t="inlineStr">
        <is>
          <t>TMS7 7.6.3 | TopHAT 7.6.3</t>
        </is>
      </c>
      <c r="S25" s="2" t="inlineStr">
        <is>
          <t>Unknown</t>
        </is>
      </c>
      <c r="T25" s="2" t="inlineStr">
        <is>
          <t>CWE-384, CWE-434, CWE-552, CWE-79, CWE-89, CWE-95</t>
        </is>
      </c>
      <c r="U25" s="2" t="inlineStr">
        <is>
          <t>https://www.cisa.gov/news-events/ics-advisories/icsa-26-272-02</t>
        </is>
      </c>
      <c r="V25" s="2" t="inlineStr">
        <is>
          <t>United States</t>
        </is>
      </c>
      <c r="W25" s="2" t="inlineStr">
        <is>
          <t>Worldwide</t>
        </is>
      </c>
      <c r="X25" s="2" t="inlineStr"/>
      <c r="Y25" s="2" t="inlineStr">
        <is>
          <t>csv</t>
        </is>
      </c>
    </row>
    <row r="26">
      <c r="A26" s="2" t="inlineStr">
        <is>
          <t>ICSA-26-272-02</t>
        </is>
      </c>
      <c r="B26" s="2" t="inlineStr">
        <is>
          <t>CVE-2026-72507</t>
        </is>
      </c>
      <c r="C26" s="2" t="inlineStr">
        <is>
          <t>Toptech TMS7 and TopHAT</t>
        </is>
      </c>
      <c r="D26" s="2" t="inlineStr">
        <is>
          <t>Toptech Systems</t>
        </is>
      </c>
      <c r="E26" s="2" t="inlineStr">
        <is>
          <t>Toptech TMS7 and TopHAT</t>
        </is>
      </c>
      <c r="F26" s="2" t="inlineStr">
        <is>
          <t>10.0</t>
        </is>
      </c>
      <c r="G26" s="2" t="inlineStr">
        <is>
          <t>critical</t>
        </is>
      </c>
      <c r="H26" s="2" t="inlineStr">
        <is>
          <t>9/29/2026</t>
        </is>
      </c>
      <c r="I26" s="2" t="inlineStr">
        <is>
          <t>9/29/2026</t>
        </is>
      </c>
      <c r="J26" s="2" t="inlineStr"/>
      <c r="K26" s="2" t="inlineStr">
        <is>
          <t>Energy; Chemical; Transportation Systems</t>
        </is>
      </c>
      <c r="L26" s="2" t="inlineStr">
        <is>
          <t>Yes</t>
        </is>
      </c>
      <c r="M26" s="2" t="inlineStr">
        <is>
          <t>Likely</t>
        </is>
      </c>
      <c r="N26" s="2" t="inlineStr">
        <is>
          <t>Y</t>
        </is>
      </c>
      <c r="O26" s="2" t="inlineStr">
        <is>
          <t>N</t>
        </is>
      </c>
      <c r="P26" s="2">
        <f>IF(O26="Y",10,0)+IF(G26="Critical",65,IF(G26="High",60,IF(G26="Medium",50,IF(G26="Low",35,0))))</f>
        <v/>
      </c>
      <c r="Q26" s="2" t="inlineStr">
        <is>
          <t>Unrestricted File Upload, Cross-Site Scripting, SQL Injection</t>
        </is>
      </c>
      <c r="R26" s="2" t="inlineStr">
        <is>
          <t>TMS7 7.6.3 | TopHAT 7.6.3</t>
        </is>
      </c>
      <c r="S26" s="2" t="inlineStr">
        <is>
          <t>Unknown</t>
        </is>
      </c>
      <c r="T26" s="2" t="inlineStr">
        <is>
          <t>CWE-384, CWE-434, CWE-552, CWE-79, CWE-89, CWE-95</t>
        </is>
      </c>
      <c r="U26" s="2" t="inlineStr">
        <is>
          <t>https://www.cisa.gov/news-events/ics-advisories/icsa-26-272-02</t>
        </is>
      </c>
      <c r="V26" s="2" t="inlineStr">
        <is>
          <t>United States</t>
        </is>
      </c>
      <c r="W26" s="2" t="inlineStr">
        <is>
          <t>Worldwide</t>
        </is>
      </c>
      <c r="X26" s="2" t="inlineStr"/>
      <c r="Y26" s="2" t="inlineStr">
        <is>
          <t>csv</t>
        </is>
      </c>
    </row>
    <row r="27">
      <c r="A27" s="2" t="inlineStr">
        <is>
          <t>ICSA-26-272-02</t>
        </is>
      </c>
      <c r="B27" s="2" t="inlineStr">
        <is>
          <t>CVE-2026-71302</t>
        </is>
      </c>
      <c r="C27" s="2" t="inlineStr">
        <is>
          <t>Toptech TMS7 and TopHAT</t>
        </is>
      </c>
      <c r="D27" s="2" t="inlineStr">
        <is>
          <t>Toptech Systems</t>
        </is>
      </c>
      <c r="E27" s="2" t="inlineStr">
        <is>
          <t>Toptech TMS7 and TopHAT</t>
        </is>
      </c>
      <c r="F27" s="2" t="inlineStr">
        <is>
          <t>10.0</t>
        </is>
      </c>
      <c r="G27" s="2" t="inlineStr">
        <is>
          <t>critical</t>
        </is>
      </c>
      <c r="H27" s="2" t="inlineStr">
        <is>
          <t>9/29/2026</t>
        </is>
      </c>
      <c r="I27" s="2" t="inlineStr">
        <is>
          <t>9/29/2026</t>
        </is>
      </c>
      <c r="J27" s="2" t="inlineStr"/>
      <c r="K27" s="2" t="inlineStr">
        <is>
          <t>Energy; Chemical; Transportation Systems</t>
        </is>
      </c>
      <c r="L27" s="2" t="inlineStr">
        <is>
          <t>Yes</t>
        </is>
      </c>
      <c r="M27" s="2" t="inlineStr">
        <is>
          <t>Likely</t>
        </is>
      </c>
      <c r="N27" s="2" t="inlineStr">
        <is>
          <t>Y</t>
        </is>
      </c>
      <c r="O27" s="2" t="inlineStr">
        <is>
          <t>N</t>
        </is>
      </c>
      <c r="P27" s="2">
        <f>IF(O27="Y",10,0)+IF(G27="Critical",65,IF(G27="High",60,IF(G27="Medium",50,IF(G27="Low",35,0))))</f>
        <v/>
      </c>
      <c r="Q27" s="2" t="inlineStr">
        <is>
          <t>Unrestricted File Upload, Cross-Site Scripting, SQL Injection</t>
        </is>
      </c>
      <c r="R27" s="2" t="inlineStr">
        <is>
          <t>TMS7 7.6.3 | TopHAT 7.6.3</t>
        </is>
      </c>
      <c r="S27" s="2" t="inlineStr">
        <is>
          <t>Unknown</t>
        </is>
      </c>
      <c r="T27" s="2" t="inlineStr">
        <is>
          <t>CWE-384, CWE-434, CWE-552, CWE-79, CWE-89, CWE-95</t>
        </is>
      </c>
      <c r="U27" s="2" t="inlineStr">
        <is>
          <t>https://www.cisa.gov/news-events/ics-advisories/icsa-26-272-02</t>
        </is>
      </c>
      <c r="V27" s="2" t="inlineStr">
        <is>
          <t>United States</t>
        </is>
      </c>
      <c r="W27" s="2" t="inlineStr">
        <is>
          <t>Worldwide</t>
        </is>
      </c>
      <c r="X27" s="2" t="inlineStr"/>
      <c r="Y27" s="2" t="inlineStr">
        <is>
          <t>csv</t>
        </is>
      </c>
    </row>
    <row r="28">
      <c r="A28" s="2" t="inlineStr">
        <is>
          <t>ICSA-26-272-02</t>
        </is>
      </c>
      <c r="B28" s="2" t="inlineStr">
        <is>
          <t>CVE-2026-69662</t>
        </is>
      </c>
      <c r="C28" s="2" t="inlineStr">
        <is>
          <t>Toptech TMS7 and TopHAT</t>
        </is>
      </c>
      <c r="D28" s="2" t="inlineStr">
        <is>
          <t>Toptech Systems</t>
        </is>
      </c>
      <c r="E28" s="2" t="inlineStr">
        <is>
          <t>Toptech TMS7 and TopHAT</t>
        </is>
      </c>
      <c r="F28" s="2" t="inlineStr">
        <is>
          <t>10.0</t>
        </is>
      </c>
      <c r="G28" s="2" t="inlineStr">
        <is>
          <t>critical</t>
        </is>
      </c>
      <c r="H28" s="2" t="inlineStr">
        <is>
          <t>9/29/2026</t>
        </is>
      </c>
      <c r="I28" s="2" t="inlineStr">
        <is>
          <t>9/29/2026</t>
        </is>
      </c>
      <c r="J28" s="2" t="inlineStr"/>
      <c r="K28" s="2" t="inlineStr">
        <is>
          <t>Energy; Chemical; Transportation Systems</t>
        </is>
      </c>
      <c r="L28" s="2" t="inlineStr">
        <is>
          <t>Yes</t>
        </is>
      </c>
      <c r="M28" s="2" t="inlineStr">
        <is>
          <t>Likely</t>
        </is>
      </c>
      <c r="N28" s="2" t="inlineStr">
        <is>
          <t>Y</t>
        </is>
      </c>
      <c r="O28" s="2" t="inlineStr">
        <is>
          <t>N</t>
        </is>
      </c>
      <c r="P28" s="2">
        <f>IF(O28="Y",10,0)+IF(G28="Critical",65,IF(G28="High",60,IF(G28="Medium",50,IF(G28="Low",35,0))))</f>
        <v/>
      </c>
      <c r="Q28" s="2" t="inlineStr">
        <is>
          <t>Unrestricted File Upload, Cross-Site Scripting, SQL Injection</t>
        </is>
      </c>
      <c r="R28" s="2" t="inlineStr">
        <is>
          <t>TMS7 7.6.3 | TopHAT 7.6.3</t>
        </is>
      </c>
      <c r="S28" s="2" t="inlineStr">
        <is>
          <t>Unknown</t>
        </is>
      </c>
      <c r="T28" s="2" t="inlineStr">
        <is>
          <t>CWE-384, CWE-434, CWE-552, CWE-79, CWE-89, CWE-95</t>
        </is>
      </c>
      <c r="U28" s="2" t="inlineStr">
        <is>
          <t>https://www.cisa.gov/news-events/ics-advisories/icsa-26-272-02</t>
        </is>
      </c>
      <c r="V28" s="2" t="inlineStr">
        <is>
          <t>United States</t>
        </is>
      </c>
      <c r="W28" s="2" t="inlineStr">
        <is>
          <t>Worldwide</t>
        </is>
      </c>
      <c r="X28" s="2" t="inlineStr"/>
      <c r="Y28" s="2" t="inlineStr">
        <is>
          <t>csv</t>
        </is>
      </c>
    </row>
    <row r="29">
      <c r="A29" s="2" t="inlineStr">
        <is>
          <t>ICSA-26-272-02</t>
        </is>
      </c>
      <c r="B29" s="2" t="inlineStr">
        <is>
          <t>CVE-2026-71189</t>
        </is>
      </c>
      <c r="C29" s="2" t="inlineStr">
        <is>
          <t>Toptech TMS7 and TopHAT</t>
        </is>
      </c>
      <c r="D29" s="2" t="inlineStr">
        <is>
          <t>Toptech Systems</t>
        </is>
      </c>
      <c r="E29" s="2" t="inlineStr">
        <is>
          <t>Toptech TMS7 and TopHAT</t>
        </is>
      </c>
      <c r="F29" s="2" t="inlineStr">
        <is>
          <t>10.0</t>
        </is>
      </c>
      <c r="G29" s="2" t="inlineStr">
        <is>
          <t>critical</t>
        </is>
      </c>
      <c r="H29" s="2" t="inlineStr">
        <is>
          <t>9/29/2026</t>
        </is>
      </c>
      <c r="I29" s="2" t="inlineStr">
        <is>
          <t>9/29/2026</t>
        </is>
      </c>
      <c r="J29" s="2" t="inlineStr"/>
      <c r="K29" s="2" t="inlineStr">
        <is>
          <t>Energy; Chemical; Transportation Systems</t>
        </is>
      </c>
      <c r="L29" s="2" t="inlineStr">
        <is>
          <t>Yes</t>
        </is>
      </c>
      <c r="M29" s="2" t="inlineStr">
        <is>
          <t>Likely</t>
        </is>
      </c>
      <c r="N29" s="2" t="inlineStr">
        <is>
          <t>Y</t>
        </is>
      </c>
      <c r="O29" s="2" t="inlineStr">
        <is>
          <t>N</t>
        </is>
      </c>
      <c r="P29" s="2">
        <f>IF(O29="Y",10,0)+IF(G29="Critical",65,IF(G29="High",60,IF(G29="Medium",50,IF(G29="Low",35,0))))</f>
        <v/>
      </c>
      <c r="Q29" s="2" t="inlineStr">
        <is>
          <t>Unrestricted File Upload, Cross-Site Scripting, SQL Injection</t>
        </is>
      </c>
      <c r="R29" s="2" t="inlineStr">
        <is>
          <t>TMS7 7.6.3 | TopHAT 7.6.3</t>
        </is>
      </c>
      <c r="S29" s="2" t="inlineStr">
        <is>
          <t>Unknown</t>
        </is>
      </c>
      <c r="T29" s="2" t="inlineStr">
        <is>
          <t>CWE-384, CWE-434, CWE-552, CWE-79, CWE-89, CWE-95</t>
        </is>
      </c>
      <c r="U29" s="2" t="inlineStr">
        <is>
          <t>https://www.cisa.gov/news-events/ics-advisories/icsa-26-272-02</t>
        </is>
      </c>
      <c r="V29" s="2" t="inlineStr">
        <is>
          <t>United States</t>
        </is>
      </c>
      <c r="W29" s="2" t="inlineStr">
        <is>
          <t>Worldwide</t>
        </is>
      </c>
      <c r="X29" s="2" t="inlineStr"/>
      <c r="Y29" s="2" t="inlineStr">
        <is>
          <t>csv</t>
        </is>
      </c>
    </row>
    <row r="30">
      <c r="A30" s="2" t="inlineStr">
        <is>
          <t>ICSA-26-272-01</t>
        </is>
      </c>
      <c r="B30" s="2" t="inlineStr">
        <is>
          <t>CVE-2026-84409</t>
        </is>
      </c>
      <c r="C30" s="2" t="inlineStr">
        <is>
          <t>Lantronix G520 Series Cellular Gateway</t>
        </is>
      </c>
      <c r="D30" s="2" t="inlineStr">
        <is>
          <t>Lantronix</t>
        </is>
      </c>
      <c r="E30" s="2" t="inlineStr">
        <is>
          <t>Lantronix G520 Series Cellular Gateway</t>
        </is>
      </c>
      <c r="F30" s="2" t="inlineStr">
        <is>
          <t>7.5</t>
        </is>
      </c>
      <c r="G30" s="2" t="inlineStr">
        <is>
          <t>high</t>
        </is>
      </c>
      <c r="H30" s="2" t="inlineStr">
        <is>
          <t>9/29/2026</t>
        </is>
      </c>
      <c r="I30" s="2" t="inlineStr">
        <is>
          <t>9/29/2026</t>
        </is>
      </c>
      <c r="J30" s="2" t="inlineStr"/>
      <c r="K30" s="2" t="inlineStr">
        <is>
          <t>Transportation Systems; Energy; Water and Wastewater Systems</t>
        </is>
      </c>
      <c r="L30" s="2" t="inlineStr">
        <is>
          <t>Yes</t>
        </is>
      </c>
      <c r="M30" s="2" t="inlineStr">
        <is>
          <t>Likely</t>
        </is>
      </c>
      <c r="N30" s="2" t="inlineStr">
        <is>
          <t>Y</t>
        </is>
      </c>
      <c r="O30" s="2" t="inlineStr">
        <is>
          <t>N</t>
        </is>
      </c>
      <c r="P30" s="2">
        <f>IF(O30="Y",10,0)+IF(G30="Critical",65,IF(G30="High",60,IF(G30="Medium",50,IF(G30="Low",35,0))))</f>
        <v/>
      </c>
      <c r="Q30" s="2" t="inlineStr">
        <is>
          <t>Improper Verification of Cryptographic Signature, Cross-Site Scripting</t>
        </is>
      </c>
      <c r="R30" s="2" t="inlineStr">
        <is>
          <t>G520 Series 2.6.0.4R6_stable</t>
        </is>
      </c>
      <c r="S30" s="2" t="inlineStr">
        <is>
          <t>Unknown</t>
        </is>
      </c>
      <c r="T30" s="2" t="inlineStr">
        <is>
          <t>CWE-347, CWE-79</t>
        </is>
      </c>
      <c r="U30" s="2" t="inlineStr">
        <is>
          <t>https://www.cisa.gov/news-events/ics-advisories/icsa-26-272-01</t>
        </is>
      </c>
      <c r="V30" s="2" t="inlineStr">
        <is>
          <t>United States</t>
        </is>
      </c>
      <c r="W30" s="2" t="inlineStr">
        <is>
          <t>Worldwide</t>
        </is>
      </c>
      <c r="X30" s="2" t="inlineStr"/>
      <c r="Y30" s="2" t="inlineStr">
        <is>
          <t>csv</t>
        </is>
      </c>
    </row>
    <row r="31">
      <c r="A31" s="2" t="inlineStr">
        <is>
          <t>ICSA-26-272-01</t>
        </is>
      </c>
      <c r="B31" s="2" t="inlineStr">
        <is>
          <t>CVE-2026-91191</t>
        </is>
      </c>
      <c r="C31" s="2" t="inlineStr">
        <is>
          <t>Lantronix G520 Series Cellular Gateway</t>
        </is>
      </c>
      <c r="D31" s="2" t="inlineStr">
        <is>
          <t>Lantronix</t>
        </is>
      </c>
      <c r="E31" s="2" t="inlineStr">
        <is>
          <t>Lantronix G520 Series Cellular Gateway</t>
        </is>
      </c>
      <c r="F31" s="2" t="inlineStr">
        <is>
          <t>7.5</t>
        </is>
      </c>
      <c r="G31" s="2" t="inlineStr">
        <is>
          <t>high</t>
        </is>
      </c>
      <c r="H31" s="2" t="inlineStr">
        <is>
          <t>9/29/2026</t>
        </is>
      </c>
      <c r="I31" s="2" t="inlineStr">
        <is>
          <t>9/29/2026</t>
        </is>
      </c>
      <c r="J31" s="2" t="inlineStr"/>
      <c r="K31" s="2" t="inlineStr">
        <is>
          <t>Transportation Systems; Energy; Water and Wastewater Systems</t>
        </is>
      </c>
      <c r="L31" s="2" t="inlineStr">
        <is>
          <t>Yes</t>
        </is>
      </c>
      <c r="M31" s="2" t="inlineStr">
        <is>
          <t>Likely</t>
        </is>
      </c>
      <c r="N31" s="2" t="inlineStr">
        <is>
          <t>Y</t>
        </is>
      </c>
      <c r="O31" s="2" t="inlineStr">
        <is>
          <t>N</t>
        </is>
      </c>
      <c r="P31" s="2">
        <f>IF(O31="Y",10,0)+IF(G31="Critical",65,IF(G31="High",60,IF(G31="Medium",50,IF(G31="Low",35,0))))</f>
        <v/>
      </c>
      <c r="Q31" s="2" t="inlineStr">
        <is>
          <t>Improper Verification of Cryptographic Signature, Cross-Site Scripting</t>
        </is>
      </c>
      <c r="R31" s="2" t="inlineStr">
        <is>
          <t>G520 Series 2.6.0.4R6_stable</t>
        </is>
      </c>
      <c r="S31" s="2" t="inlineStr">
        <is>
          <t>Unknown</t>
        </is>
      </c>
      <c r="T31" s="2" t="inlineStr">
        <is>
          <t>CWE-347, CWE-79</t>
        </is>
      </c>
      <c r="U31" s="2" t="inlineStr">
        <is>
          <t>https://www.cisa.gov/news-events/ics-advisories/icsa-26-272-01</t>
        </is>
      </c>
      <c r="V31" s="2" t="inlineStr">
        <is>
          <t>United States</t>
        </is>
      </c>
      <c r="W31" s="2" t="inlineStr">
        <is>
          <t>Worldwide</t>
        </is>
      </c>
      <c r="X31" s="2" t="inlineStr"/>
      <c r="Y31" s="2" t="inlineStr">
        <is>
          <t>csv</t>
        </is>
      </c>
    </row>
    <row r="32">
      <c r="A32" s="2" t="inlineStr">
        <is>
          <t>ICSA-26-267-02</t>
        </is>
      </c>
      <c r="B32" s="2" t="inlineStr">
        <is>
          <t>CVE-2026-93289</t>
        </is>
      </c>
      <c r="C32" s="2" t="inlineStr">
        <is>
          <t>Eufy Omni C20, Omni X10 Pro</t>
        </is>
      </c>
      <c r="D32" s="2" t="inlineStr">
        <is>
          <t>Eufy</t>
        </is>
      </c>
      <c r="E32" s="2" t="inlineStr">
        <is>
          <t>Eufy Omni C20, Omni X10 Pro</t>
        </is>
      </c>
      <c r="F32" s="2" t="inlineStr">
        <is>
          <t>9.4</t>
        </is>
      </c>
      <c r="G32" s="2" t="inlineStr">
        <is>
          <t>critical</t>
        </is>
      </c>
      <c r="H32" s="2" t="inlineStr">
        <is>
          <t>9/24/2026</t>
        </is>
      </c>
      <c r="I32" s="2" t="inlineStr">
        <is>
          <t>9/24/2026</t>
        </is>
      </c>
      <c r="J32" s="2" t="inlineStr">
        <is>
          <t>2026-09-24T19:24:40.244Z</t>
        </is>
      </c>
      <c r="K32" s="2" t="inlineStr">
        <is>
          <t>Information Technology</t>
        </is>
      </c>
      <c r="L32" s="2" t="inlineStr">
        <is>
          <t>Yes</t>
        </is>
      </c>
      <c r="M32" s="2" t="inlineStr">
        <is>
          <t>Likely</t>
        </is>
      </c>
      <c r="N32" s="2" t="inlineStr">
        <is>
          <t>Y</t>
        </is>
      </c>
      <c r="O32" s="2" t="inlineStr">
        <is>
          <t>N</t>
        </is>
      </c>
      <c r="P32" s="2">
        <f>IF(O32="Y",10,0)+IF(G32="Critical",65,IF(G32="High",60,IF(G32="Medium",50,IF(G32="Low",35,0))))</f>
        <v/>
      </c>
      <c r="Q32" s="2" t="inlineStr">
        <is>
          <t>Certificate Validation Failure, OS Command Injection, Hard-coded Credentials</t>
        </is>
      </c>
      <c r="R32" s="2" t="inlineStr">
        <is>
          <t>Omni C20 &lt;1.6.4 | Omni X10 Pro &lt;1.6.4</t>
        </is>
      </c>
      <c r="S32" s="2" t="inlineStr">
        <is>
          <t>1.6.4</t>
        </is>
      </c>
      <c r="T32" s="2" t="inlineStr">
        <is>
          <t>CWE-295, CWE-78, CWE-798</t>
        </is>
      </c>
      <c r="U32" s="2" t="inlineStr">
        <is>
          <t>https://www.cisa.gov/news-events/ics-advisories/icsa-26-267-02</t>
        </is>
      </c>
      <c r="V32" s="2" t="inlineStr">
        <is>
          <t>China</t>
        </is>
      </c>
      <c r="W32" s="2" t="inlineStr">
        <is>
          <t>Worldwide</t>
        </is>
      </c>
      <c r="X32" s="2" t="inlineStr"/>
      <c r="Y32" s="2" t="inlineStr">
        <is>
          <t>csv</t>
        </is>
      </c>
    </row>
    <row r="33">
      <c r="A33" s="2" t="inlineStr">
        <is>
          <t>ICSA-26-267-02</t>
        </is>
      </c>
      <c r="B33" s="2" t="inlineStr">
        <is>
          <t>CVE-2026-93290</t>
        </is>
      </c>
      <c r="C33" s="2" t="inlineStr">
        <is>
          <t>Eufy Omni C20, Omni X10 Pro</t>
        </is>
      </c>
      <c r="D33" s="2" t="inlineStr">
        <is>
          <t>Eufy</t>
        </is>
      </c>
      <c r="E33" s="2" t="inlineStr">
        <is>
          <t>Eufy Omni C20, Omni X10 Pro</t>
        </is>
      </c>
      <c r="F33" s="2" t="inlineStr">
        <is>
          <t>9.4</t>
        </is>
      </c>
      <c r="G33" s="2" t="inlineStr">
        <is>
          <t>critical</t>
        </is>
      </c>
      <c r="H33" s="2" t="inlineStr">
        <is>
          <t>9/24/2026</t>
        </is>
      </c>
      <c r="I33" s="2" t="inlineStr">
        <is>
          <t>9/24/2026</t>
        </is>
      </c>
      <c r="J33" s="2" t="inlineStr">
        <is>
          <t>2026-09-24T19:26:36.445Z</t>
        </is>
      </c>
      <c r="K33" s="2" t="inlineStr">
        <is>
          <t>Information Technology</t>
        </is>
      </c>
      <c r="L33" s="2" t="inlineStr">
        <is>
          <t>Yes</t>
        </is>
      </c>
      <c r="M33" s="2" t="inlineStr">
        <is>
          <t>Likely</t>
        </is>
      </c>
      <c r="N33" s="2" t="inlineStr">
        <is>
          <t>Y</t>
        </is>
      </c>
      <c r="O33" s="2" t="inlineStr">
        <is>
          <t>N</t>
        </is>
      </c>
      <c r="P33" s="2">
        <f>IF(O33="Y",10,0)+IF(G33="Critical",65,IF(G33="High",60,IF(G33="Medium",50,IF(G33="Low",35,0))))</f>
        <v/>
      </c>
      <c r="Q33" s="2" t="inlineStr">
        <is>
          <t>Certificate Validation Failure, OS Command Injection, Hard-coded Credentials</t>
        </is>
      </c>
      <c r="R33" s="2" t="inlineStr">
        <is>
          <t>Omni C20 &lt;1.6.4 | Omni X10 Pro &lt;1.6.4</t>
        </is>
      </c>
      <c r="S33" s="2" t="inlineStr">
        <is>
          <t>1.6.4</t>
        </is>
      </c>
      <c r="T33" s="2" t="inlineStr">
        <is>
          <t>CWE-295, CWE-78, CWE-798</t>
        </is>
      </c>
      <c r="U33" s="2" t="inlineStr">
        <is>
          <t>https://www.cisa.gov/news-events/ics-advisories/icsa-26-267-02</t>
        </is>
      </c>
      <c r="V33" s="2" t="inlineStr">
        <is>
          <t>China</t>
        </is>
      </c>
      <c r="W33" s="2" t="inlineStr">
        <is>
          <t>Worldwide</t>
        </is>
      </c>
      <c r="X33" s="2" t="inlineStr"/>
      <c r="Y33" s="2" t="inlineStr">
        <is>
          <t>csv</t>
        </is>
      </c>
    </row>
    <row r="34">
      <c r="A34" s="2" t="inlineStr">
        <is>
          <t>ICSA-26-267-02</t>
        </is>
      </c>
      <c r="B34" s="2" t="inlineStr">
        <is>
          <t>CVE-2026-93291</t>
        </is>
      </c>
      <c r="C34" s="2" t="inlineStr">
        <is>
          <t>Eufy Omni C20, Omni X10 Pro</t>
        </is>
      </c>
      <c r="D34" s="2" t="inlineStr">
        <is>
          <t>Eufy</t>
        </is>
      </c>
      <c r="E34" s="2" t="inlineStr">
        <is>
          <t>Eufy Omni C20, Omni X10 Pro</t>
        </is>
      </c>
      <c r="F34" s="2" t="inlineStr">
        <is>
          <t>9.4</t>
        </is>
      </c>
      <c r="G34" s="2" t="inlineStr">
        <is>
          <t>critical</t>
        </is>
      </c>
      <c r="H34" s="2" t="inlineStr">
        <is>
          <t>9/24/2026</t>
        </is>
      </c>
      <c r="I34" s="2" t="inlineStr">
        <is>
          <t>9/24/2026</t>
        </is>
      </c>
      <c r="J34" s="2" t="inlineStr">
        <is>
          <t>2026-09-24T19:27:54.311Z</t>
        </is>
      </c>
      <c r="K34" s="2" t="inlineStr">
        <is>
          <t>Information Technology</t>
        </is>
      </c>
      <c r="L34" s="2" t="inlineStr">
        <is>
          <t>Yes</t>
        </is>
      </c>
      <c r="M34" s="2" t="inlineStr">
        <is>
          <t>Likely</t>
        </is>
      </c>
      <c r="N34" s="2" t="inlineStr">
        <is>
          <t>Y</t>
        </is>
      </c>
      <c r="O34" s="2" t="inlineStr">
        <is>
          <t>N</t>
        </is>
      </c>
      <c r="P34" s="2">
        <f>IF(O34="Y",10,0)+IF(G34="Critical",65,IF(G34="High",60,IF(G34="Medium",50,IF(G34="Low",35,0))))</f>
        <v/>
      </c>
      <c r="Q34" s="2" t="inlineStr">
        <is>
          <t>Certificate Validation Failure, OS Command Injection, Hard-coded Credentials</t>
        </is>
      </c>
      <c r="R34" s="2" t="inlineStr">
        <is>
          <t>Omni C20 &lt;1.6.4 | Omni X10 Pro &lt;1.6.4</t>
        </is>
      </c>
      <c r="S34" s="2" t="inlineStr">
        <is>
          <t>1.6.4</t>
        </is>
      </c>
      <c r="T34" s="2" t="inlineStr">
        <is>
          <t>CWE-295, CWE-78, CWE-798</t>
        </is>
      </c>
      <c r="U34" s="2" t="inlineStr">
        <is>
          <t>https://www.cisa.gov/news-events/ics-advisories/icsa-26-267-02</t>
        </is>
      </c>
      <c r="V34" s="2" t="inlineStr">
        <is>
          <t>China</t>
        </is>
      </c>
      <c r="W34" s="2" t="inlineStr">
        <is>
          <t>Worldwide</t>
        </is>
      </c>
      <c r="X34" s="2" t="inlineStr"/>
      <c r="Y34" s="2" t="inlineStr">
        <is>
          <t>csv</t>
        </is>
      </c>
    </row>
    <row r="35">
      <c r="A35" s="2" t="inlineStr">
        <is>
          <t>ICSA-26-267-01</t>
        </is>
      </c>
      <c r="B35" s="2" t="inlineStr">
        <is>
          <t>CVE-2026-84399</t>
        </is>
      </c>
      <c r="C35" s="2" t="inlineStr">
        <is>
          <t>Botslab G980H Dashcams</t>
        </is>
      </c>
      <c r="D35" s="2" t="inlineStr">
        <is>
          <t>Botslab</t>
        </is>
      </c>
      <c r="E35" s="2" t="inlineStr">
        <is>
          <t>Botslab G980H Dashcams</t>
        </is>
      </c>
      <c r="F35" s="2" t="inlineStr">
        <is>
          <t>8.8</t>
        </is>
      </c>
      <c r="G35" s="2" t="inlineStr">
        <is>
          <t>high</t>
        </is>
      </c>
      <c r="H35" s="2" t="inlineStr">
        <is>
          <t>9/24/2026</t>
        </is>
      </c>
      <c r="I35" s="2" t="inlineStr">
        <is>
          <t>9/24/2026</t>
        </is>
      </c>
      <c r="J35" s="2" t="inlineStr">
        <is>
          <t>2026-09-24T19:27:47.278Z</t>
        </is>
      </c>
      <c r="K35" s="2" t="inlineStr">
        <is>
          <t>Transportation Systems</t>
        </is>
      </c>
      <c r="L35" s="2" t="inlineStr">
        <is>
          <t>Yes</t>
        </is>
      </c>
      <c r="M35" s="2" t="inlineStr">
        <is>
          <t>Likely</t>
        </is>
      </c>
      <c r="N35" s="2" t="inlineStr">
        <is>
          <t>Y</t>
        </is>
      </c>
      <c r="O35" s="2" t="inlineStr">
        <is>
          <t>N</t>
        </is>
      </c>
      <c r="P35" s="2">
        <f>IF(O35="Y",10,0)+IF(G35="Critical",65,IF(G35="High",60,IF(G35="Medium",50,IF(G35="Low",35,0))))</f>
        <v/>
      </c>
      <c r="Q35" s="2" t="inlineStr">
        <is>
          <t>Path Traversal, Authentication Bypass by Capture-replay, Missing Authentication, Cleartext Transmission, Insufficient Verification, Out-of-Bounds Write / RCE, Hard-coded Credentials, Incorrect Authorization</t>
        </is>
      </c>
      <c r="R35" s="2" t="inlineStr">
        <is>
          <t>G980H dash cam series 30010_QHG980HN5294SysFW+ | G980H dash cam series 58_QHG980HMCN5291SysFW+</t>
        </is>
      </c>
      <c r="S35" s="2" t="inlineStr">
        <is>
          <t>Unknown</t>
        </is>
      </c>
      <c r="T35" s="2" t="inlineStr">
        <is>
          <t>CWE-1391, CWE-22, CWE-294, CWE-306, CWE-319, CWE-321, CWE-340, CWE-345, CWE-532, CWE-613, CWE-787, CWE-798, CWE-863</t>
        </is>
      </c>
      <c r="U35" s="2" t="inlineStr">
        <is>
          <t>https://www.cisa.gov/news-events/ics-advisories/icsa-26-267-01</t>
        </is>
      </c>
      <c r="V35" s="2" t="inlineStr">
        <is>
          <t>China</t>
        </is>
      </c>
      <c r="W35" s="2" t="inlineStr">
        <is>
          <t>Worldwide</t>
        </is>
      </c>
      <c r="X35" s="2" t="inlineStr"/>
      <c r="Y35" s="2" t="inlineStr">
        <is>
          <t>csv</t>
        </is>
      </c>
    </row>
    <row r="36">
      <c r="A36" s="2" t="inlineStr">
        <is>
          <t>ICSA-26-267-01</t>
        </is>
      </c>
      <c r="B36" s="2" t="inlineStr">
        <is>
          <t>CVE-2026-82566</t>
        </is>
      </c>
      <c r="C36" s="2" t="inlineStr">
        <is>
          <t>Botslab G980H Dashcams</t>
        </is>
      </c>
      <c r="D36" s="2" t="inlineStr">
        <is>
          <t>Botslab</t>
        </is>
      </c>
      <c r="E36" s="2" t="inlineStr">
        <is>
          <t>Botslab G980H Dashcams</t>
        </is>
      </c>
      <c r="F36" s="2" t="inlineStr">
        <is>
          <t>8.8</t>
        </is>
      </c>
      <c r="G36" s="2" t="inlineStr">
        <is>
          <t>high</t>
        </is>
      </c>
      <c r="H36" s="2" t="inlineStr">
        <is>
          <t>9/24/2026</t>
        </is>
      </c>
      <c r="I36" s="2" t="inlineStr">
        <is>
          <t>9/24/2026</t>
        </is>
      </c>
      <c r="J36" s="2" t="inlineStr">
        <is>
          <t>2026-09-24T19:32:19.662Z</t>
        </is>
      </c>
      <c r="K36" s="2" t="inlineStr">
        <is>
          <t>Transportation Systems</t>
        </is>
      </c>
      <c r="L36" s="2" t="inlineStr">
        <is>
          <t>Yes</t>
        </is>
      </c>
      <c r="M36" s="2" t="inlineStr">
        <is>
          <t>Likely</t>
        </is>
      </c>
      <c r="N36" s="2" t="inlineStr">
        <is>
          <t>Y</t>
        </is>
      </c>
      <c r="O36" s="2" t="inlineStr">
        <is>
          <t>N</t>
        </is>
      </c>
      <c r="P36" s="2">
        <f>IF(O36="Y",10,0)+IF(G36="Critical",65,IF(G36="High",60,IF(G36="Medium",50,IF(G36="Low",35,0))))</f>
        <v/>
      </c>
      <c r="Q36" s="2" t="inlineStr">
        <is>
          <t>Path Traversal, Authentication Bypass by Capture-replay, Missing Authentication, Cleartext Transmission, Insufficient Verification, Out-of-Bounds Write / RCE, Hard-coded Credentials, Incorrect Authorization</t>
        </is>
      </c>
      <c r="R36" s="2" t="inlineStr">
        <is>
          <t>G980H dash cam series 30010_QHG980HN5294SysFW+ | G980H dash cam series 58_QHG980HMCN5291SysFW+</t>
        </is>
      </c>
      <c r="S36" s="2" t="inlineStr">
        <is>
          <t>Unknown</t>
        </is>
      </c>
      <c r="T36" s="2" t="inlineStr">
        <is>
          <t>CWE-1391, CWE-22, CWE-294, CWE-306, CWE-319, CWE-321, CWE-340, CWE-345, CWE-532, CWE-613, CWE-787, CWE-798, CWE-863</t>
        </is>
      </c>
      <c r="U36" s="2" t="inlineStr">
        <is>
          <t>https://www.cisa.gov/news-events/ics-advisories/icsa-26-267-01</t>
        </is>
      </c>
      <c r="V36" s="2" t="inlineStr">
        <is>
          <t>China</t>
        </is>
      </c>
      <c r="W36" s="2" t="inlineStr">
        <is>
          <t>Worldwide</t>
        </is>
      </c>
      <c r="X36" s="2" t="inlineStr"/>
      <c r="Y36" s="2" t="inlineStr">
        <is>
          <t>csv</t>
        </is>
      </c>
    </row>
    <row r="37">
      <c r="A37" s="2" t="inlineStr">
        <is>
          <t>ICSA-26-267-01</t>
        </is>
      </c>
      <c r="B37" s="2" t="inlineStr">
        <is>
          <t>CVE-2026-85496</t>
        </is>
      </c>
      <c r="C37" s="2" t="inlineStr">
        <is>
          <t>Botslab G980H Dashcams</t>
        </is>
      </c>
      <c r="D37" s="2" t="inlineStr">
        <is>
          <t>Botslab</t>
        </is>
      </c>
      <c r="E37" s="2" t="inlineStr">
        <is>
          <t>Botslab G980H Dashcams</t>
        </is>
      </c>
      <c r="F37" s="2" t="inlineStr">
        <is>
          <t>8.8</t>
        </is>
      </c>
      <c r="G37" s="2" t="inlineStr">
        <is>
          <t>high</t>
        </is>
      </c>
      <c r="H37" s="2" t="inlineStr">
        <is>
          <t>9/24/2026</t>
        </is>
      </c>
      <c r="I37" s="2" t="inlineStr">
        <is>
          <t>9/24/2026</t>
        </is>
      </c>
      <c r="J37" s="2" t="inlineStr">
        <is>
          <t>2026-09-24T19:47:33.970Z</t>
        </is>
      </c>
      <c r="K37" s="2" t="inlineStr">
        <is>
          <t>Transportation Systems</t>
        </is>
      </c>
      <c r="L37" s="2" t="inlineStr">
        <is>
          <t>Yes</t>
        </is>
      </c>
      <c r="M37" s="2" t="inlineStr">
        <is>
          <t>Likely</t>
        </is>
      </c>
      <c r="N37" s="2" t="inlineStr">
        <is>
          <t>Y</t>
        </is>
      </c>
      <c r="O37" s="2" t="inlineStr">
        <is>
          <t>N</t>
        </is>
      </c>
      <c r="P37" s="2">
        <f>IF(O37="Y",10,0)+IF(G37="Critical",65,IF(G37="High",60,IF(G37="Medium",50,IF(G37="Low",35,0))))</f>
        <v/>
      </c>
      <c r="Q37" s="2" t="inlineStr">
        <is>
          <t>Path Traversal, Authentication Bypass by Capture-replay, Missing Authentication, Cleartext Transmission, Insufficient Verification, Out-of-Bounds Write / RCE, Hard-coded Credentials, Incorrect Authorization</t>
        </is>
      </c>
      <c r="R37" s="2" t="inlineStr">
        <is>
          <t>G980H dash cam series 30010_QHG980HN5294SysFW+ | G980H dash cam series 58_QHG980HMCN5291SysFW+</t>
        </is>
      </c>
      <c r="S37" s="2" t="inlineStr">
        <is>
          <t>Unknown</t>
        </is>
      </c>
      <c r="T37" s="2" t="inlineStr">
        <is>
          <t>CWE-1391, CWE-22, CWE-294, CWE-306, CWE-319, CWE-321, CWE-340, CWE-345, CWE-532, CWE-613, CWE-787, CWE-798, CWE-863</t>
        </is>
      </c>
      <c r="U37" s="2" t="inlineStr">
        <is>
          <t>https://www.cisa.gov/news-events/ics-advisories/icsa-26-267-01</t>
        </is>
      </c>
      <c r="V37" s="2" t="inlineStr">
        <is>
          <t>China</t>
        </is>
      </c>
      <c r="W37" s="2" t="inlineStr">
        <is>
          <t>Worldwide</t>
        </is>
      </c>
      <c r="X37" s="2" t="inlineStr"/>
      <c r="Y37" s="2" t="inlineStr">
        <is>
          <t>csv</t>
        </is>
      </c>
    </row>
    <row r="38">
      <c r="A38" s="2" t="inlineStr">
        <is>
          <t>ICSA-26-267-01</t>
        </is>
      </c>
      <c r="B38" s="2" t="inlineStr">
        <is>
          <t>CVE-2026-77967</t>
        </is>
      </c>
      <c r="C38" s="2" t="inlineStr">
        <is>
          <t>Botslab G980H Dashcams</t>
        </is>
      </c>
      <c r="D38" s="2" t="inlineStr">
        <is>
          <t>Botslab</t>
        </is>
      </c>
      <c r="E38" s="2" t="inlineStr">
        <is>
          <t>Botslab G980H Dashcams</t>
        </is>
      </c>
      <c r="F38" s="2" t="inlineStr">
        <is>
          <t>8.8</t>
        </is>
      </c>
      <c r="G38" s="2" t="inlineStr">
        <is>
          <t>high</t>
        </is>
      </c>
      <c r="H38" s="2" t="inlineStr">
        <is>
          <t>9/24/2026</t>
        </is>
      </c>
      <c r="I38" s="2" t="inlineStr">
        <is>
          <t>9/24/2026</t>
        </is>
      </c>
      <c r="J38" s="2" t="inlineStr">
        <is>
          <t>2026-09-24T19:51:27.318Z</t>
        </is>
      </c>
      <c r="K38" s="2" t="inlineStr">
        <is>
          <t>Transportation Systems</t>
        </is>
      </c>
      <c r="L38" s="2" t="inlineStr">
        <is>
          <t>Yes</t>
        </is>
      </c>
      <c r="M38" s="2" t="inlineStr">
        <is>
          <t>Likely</t>
        </is>
      </c>
      <c r="N38" s="2" t="inlineStr">
        <is>
          <t>Y</t>
        </is>
      </c>
      <c r="O38" s="2" t="inlineStr">
        <is>
          <t>N</t>
        </is>
      </c>
      <c r="P38" s="2">
        <f>IF(O38="Y",10,0)+IF(G38="Critical",65,IF(G38="High",60,IF(G38="Medium",50,IF(G38="Low",35,0))))</f>
        <v/>
      </c>
      <c r="Q38" s="2" t="inlineStr">
        <is>
          <t>Path Traversal, Authentication Bypass by Capture-replay, Missing Authentication, Cleartext Transmission, Insufficient Verification, Out-of-Bounds Write / RCE, Hard-coded Credentials, Incorrect Authorization</t>
        </is>
      </c>
      <c r="R38" s="2" t="inlineStr">
        <is>
          <t>G980H dash cam series 30010_QHG980HN5294SysFW+ | G980H dash cam series 58_QHG980HMCN5291SysFW+</t>
        </is>
      </c>
      <c r="S38" s="2" t="inlineStr">
        <is>
          <t>Unknown</t>
        </is>
      </c>
      <c r="T38" s="2" t="inlineStr">
        <is>
          <t>CWE-1391, CWE-22, CWE-294, CWE-306, CWE-319, CWE-321, CWE-340, CWE-345, CWE-532, CWE-613, CWE-787, CWE-798, CWE-863</t>
        </is>
      </c>
      <c r="U38" s="2" t="inlineStr">
        <is>
          <t>https://www.cisa.gov/news-events/ics-advisories/icsa-26-267-01</t>
        </is>
      </c>
      <c r="V38" s="2" t="inlineStr">
        <is>
          <t>China</t>
        </is>
      </c>
      <c r="W38" s="2" t="inlineStr">
        <is>
          <t>Worldwide</t>
        </is>
      </c>
      <c r="X38" s="2" t="inlineStr"/>
      <c r="Y38" s="2" t="inlineStr">
        <is>
          <t>csv</t>
        </is>
      </c>
    </row>
    <row r="39">
      <c r="A39" s="2" t="inlineStr">
        <is>
          <t>ICSA-26-267-01</t>
        </is>
      </c>
      <c r="B39" s="2" t="inlineStr">
        <is>
          <t>CVE-2026-88761</t>
        </is>
      </c>
      <c r="C39" s="2" t="inlineStr">
        <is>
          <t>Botslab G980H Dashcams</t>
        </is>
      </c>
      <c r="D39" s="2" t="inlineStr">
        <is>
          <t>Botslab</t>
        </is>
      </c>
      <c r="E39" s="2" t="inlineStr">
        <is>
          <t>Botslab G980H Dashcams</t>
        </is>
      </c>
      <c r="F39" s="2" t="inlineStr">
        <is>
          <t>8.8</t>
        </is>
      </c>
      <c r="G39" s="2" t="inlineStr">
        <is>
          <t>high</t>
        </is>
      </c>
      <c r="H39" s="2" t="inlineStr">
        <is>
          <t>9/24/2026</t>
        </is>
      </c>
      <c r="I39" s="2" t="inlineStr">
        <is>
          <t>9/24/2026</t>
        </is>
      </c>
      <c r="J39" s="2" t="inlineStr">
        <is>
          <t>2026-09-24T19:55:34.395Z</t>
        </is>
      </c>
      <c r="K39" s="2" t="inlineStr">
        <is>
          <t>Transportation Systems</t>
        </is>
      </c>
      <c r="L39" s="2" t="inlineStr">
        <is>
          <t>Yes</t>
        </is>
      </c>
      <c r="M39" s="2" t="inlineStr">
        <is>
          <t>Likely</t>
        </is>
      </c>
      <c r="N39" s="2" t="inlineStr">
        <is>
          <t>Y</t>
        </is>
      </c>
      <c r="O39" s="2" t="inlineStr">
        <is>
          <t>N</t>
        </is>
      </c>
      <c r="P39" s="2">
        <f>IF(O39="Y",10,0)+IF(G39="Critical",65,IF(G39="High",60,IF(G39="Medium",50,IF(G39="Low",35,0))))</f>
        <v/>
      </c>
      <c r="Q39" s="2" t="inlineStr">
        <is>
          <t>Path Traversal, Authentication Bypass by Capture-replay, Missing Authentication, Cleartext Transmission, Insufficient Verification, Out-of-Bounds Write / RCE, Hard-coded Credentials, Incorrect Authorization</t>
        </is>
      </c>
      <c r="R39" s="2" t="inlineStr">
        <is>
          <t>G980H dash cam series 30010_QHG980HN5294SysFW+ | G980H dash cam series 58_QHG980HMCN5291SysFW+</t>
        </is>
      </c>
      <c r="S39" s="2" t="inlineStr">
        <is>
          <t>Unknown</t>
        </is>
      </c>
      <c r="T39" s="2" t="inlineStr">
        <is>
          <t>CWE-1391, CWE-22, CWE-294, CWE-306, CWE-319, CWE-321, CWE-340, CWE-345, CWE-532, CWE-613, CWE-787, CWE-798, CWE-863</t>
        </is>
      </c>
      <c r="U39" s="2" t="inlineStr">
        <is>
          <t>https://www.cisa.gov/news-events/ics-advisories/icsa-26-267-01</t>
        </is>
      </c>
      <c r="V39" s="2" t="inlineStr">
        <is>
          <t>China</t>
        </is>
      </c>
      <c r="W39" s="2" t="inlineStr">
        <is>
          <t>Worldwide</t>
        </is>
      </c>
      <c r="X39" s="2" t="inlineStr"/>
      <c r="Y39" s="2" t="inlineStr">
        <is>
          <t>csv</t>
        </is>
      </c>
    </row>
    <row r="40">
      <c r="A40" s="2" t="inlineStr">
        <is>
          <t>ICSA-26-267-01</t>
        </is>
      </c>
      <c r="B40" s="2" t="inlineStr">
        <is>
          <t>CVE-2026-88956</t>
        </is>
      </c>
      <c r="C40" s="2" t="inlineStr">
        <is>
          <t>Botslab G980H Dashcams</t>
        </is>
      </c>
      <c r="D40" s="2" t="inlineStr">
        <is>
          <t>Botslab</t>
        </is>
      </c>
      <c r="E40" s="2" t="inlineStr">
        <is>
          <t>Botslab G980H Dashcams</t>
        </is>
      </c>
      <c r="F40" s="2" t="inlineStr">
        <is>
          <t>8.8</t>
        </is>
      </c>
      <c r="G40" s="2" t="inlineStr">
        <is>
          <t>high</t>
        </is>
      </c>
      <c r="H40" s="2" t="inlineStr">
        <is>
          <t>9/24/2026</t>
        </is>
      </c>
      <c r="I40" s="2" t="inlineStr">
        <is>
          <t>9/24/2026</t>
        </is>
      </c>
      <c r="J40" s="2" t="inlineStr">
        <is>
          <t>2026-09-24T19:59:50.348Z</t>
        </is>
      </c>
      <c r="K40" s="2" t="inlineStr">
        <is>
          <t>Transportation Systems</t>
        </is>
      </c>
      <c r="L40" s="2" t="inlineStr">
        <is>
          <t>Yes</t>
        </is>
      </c>
      <c r="M40" s="2" t="inlineStr">
        <is>
          <t>Likely</t>
        </is>
      </c>
      <c r="N40" s="2" t="inlineStr">
        <is>
          <t>Y</t>
        </is>
      </c>
      <c r="O40" s="2" t="inlineStr">
        <is>
          <t>N</t>
        </is>
      </c>
      <c r="P40" s="2">
        <f>IF(O40="Y",10,0)+IF(G40="Critical",65,IF(G40="High",60,IF(G40="Medium",50,IF(G40="Low",35,0))))</f>
        <v/>
      </c>
      <c r="Q40" s="2" t="inlineStr">
        <is>
          <t>Path Traversal, Authentication Bypass by Capture-replay, Missing Authentication, Cleartext Transmission, Insufficient Verification, Out-of-Bounds Write / RCE, Hard-coded Credentials, Incorrect Authorization</t>
        </is>
      </c>
      <c r="R40" s="2" t="inlineStr">
        <is>
          <t>G980H dash cam series 30010_QHG980HN5294SysFW+ | G980H dash cam series 58_QHG980HMCN5291SysFW+</t>
        </is>
      </c>
      <c r="S40" s="2" t="inlineStr">
        <is>
          <t>Unknown</t>
        </is>
      </c>
      <c r="T40" s="2" t="inlineStr">
        <is>
          <t>CWE-1391, CWE-22, CWE-294, CWE-306, CWE-319, CWE-321, CWE-340, CWE-345, CWE-532, CWE-613, CWE-787, CWE-798, CWE-863</t>
        </is>
      </c>
      <c r="U40" s="2" t="inlineStr">
        <is>
          <t>https://www.cisa.gov/news-events/ics-advisories/icsa-26-267-01</t>
        </is>
      </c>
      <c r="V40" s="2" t="inlineStr">
        <is>
          <t>China</t>
        </is>
      </c>
      <c r="W40" s="2" t="inlineStr">
        <is>
          <t>Worldwide</t>
        </is>
      </c>
      <c r="X40" s="2" t="inlineStr"/>
      <c r="Y40" s="2" t="inlineStr">
        <is>
          <t>csv</t>
        </is>
      </c>
    </row>
    <row r="41">
      <c r="A41" s="2" t="inlineStr">
        <is>
          <t>ICSA-26-267-01</t>
        </is>
      </c>
      <c r="B41" s="2" t="inlineStr">
        <is>
          <t>CVE-2026-82716</t>
        </is>
      </c>
      <c r="C41" s="2" t="inlineStr">
        <is>
          <t>Unauthenticated access to dashcam WiFi credentials</t>
        </is>
      </c>
      <c r="D41" s="2" t="inlineStr">
        <is>
          <t>Botslab</t>
        </is>
      </c>
      <c r="E41" s="2" t="inlineStr">
        <is>
          <t>Botslab G980H Dashcams</t>
        </is>
      </c>
      <c r="F41" s="2" t="inlineStr">
        <is>
          <t>8.8</t>
        </is>
      </c>
      <c r="G41" s="2" t="inlineStr">
        <is>
          <t>high</t>
        </is>
      </c>
      <c r="H41" s="2" t="inlineStr">
        <is>
          <t>9/24/2026</t>
        </is>
      </c>
      <c r="I41" s="2" t="inlineStr">
        <is>
          <t>9/24/2026</t>
        </is>
      </c>
      <c r="J41" s="2" t="inlineStr">
        <is>
          <t>2026-09-24T20:02:57.856Z</t>
        </is>
      </c>
      <c r="K41" s="2" t="inlineStr">
        <is>
          <t>Transportation Systems</t>
        </is>
      </c>
      <c r="L41" s="2" t="inlineStr">
        <is>
          <t>Yes</t>
        </is>
      </c>
      <c r="M41" s="2" t="inlineStr">
        <is>
          <t>Likely</t>
        </is>
      </c>
      <c r="N41" s="2" t="inlineStr">
        <is>
          <t>Y</t>
        </is>
      </c>
      <c r="O41" s="2" t="inlineStr">
        <is>
          <t>N</t>
        </is>
      </c>
      <c r="P41" s="2">
        <f>IF(O41="Y",10,0)+IF(G41="Critical",65,IF(G41="High",60,IF(G41="Medium",50,IF(G41="Low",35,0))))</f>
        <v/>
      </c>
      <c r="Q41" s="2" t="inlineStr">
        <is>
          <t>A successful exploit may allow an unauthenticated attacker with physical access to obtain sensitive device information, resulting in unauthorized access to the device's network.</t>
        </is>
      </c>
      <c r="R41" s="2" t="inlineStr">
        <is>
          <t>Affected: Botslab G980H dash cam series prior to a fixed version</t>
        </is>
      </c>
      <c r="S41" s="2" t="inlineStr">
        <is>
          <t>No fixed version available — contact vendor for updates</t>
        </is>
      </c>
      <c r="T41" s="2" t="inlineStr">
        <is>
          <t>CWE-1391, CWE-22, CWE-294, CWE-306, CWE-319, CWE-321, CWE-340, CWE-345, CWE-532, CWE-613, CWE-787, CWE-798, CWE-863</t>
        </is>
      </c>
      <c r="U41" s="2" t="inlineStr">
        <is>
          <t>https://www.cisa.gov/news-events/ics-advisories/icsa-26-267-01</t>
        </is>
      </c>
      <c r="V41" s="2" t="inlineStr">
        <is>
          <t>China</t>
        </is>
      </c>
      <c r="W41" s="2" t="inlineStr">
        <is>
          <t>Worldwide</t>
        </is>
      </c>
      <c r="X41" s="2" t="inlineStr"/>
      <c r="Y41" s="2" t="inlineStr">
        <is>
          <t>csv</t>
        </is>
      </c>
    </row>
    <row r="42">
      <c r="A42" s="2" t="inlineStr">
        <is>
          <t>ICSA-26-267-01</t>
        </is>
      </c>
      <c r="B42" s="2" t="inlineStr">
        <is>
          <t>CVE-2026-84403</t>
        </is>
      </c>
      <c r="C42" s="2" t="inlineStr">
        <is>
          <t>Unauthenticated Bluetooth access vulnerability</t>
        </is>
      </c>
      <c r="D42" s="2" t="inlineStr">
        <is>
          <t>Botslab</t>
        </is>
      </c>
      <c r="E42" s="2" t="inlineStr">
        <is>
          <t>Botslab G980H Dashcams</t>
        </is>
      </c>
      <c r="F42" s="2" t="inlineStr">
        <is>
          <t>8.8</t>
        </is>
      </c>
      <c r="G42" s="2" t="inlineStr">
        <is>
          <t>high</t>
        </is>
      </c>
      <c r="H42" s="2" t="inlineStr">
        <is>
          <t>9/24/2026</t>
        </is>
      </c>
      <c r="I42" s="2" t="inlineStr">
        <is>
          <t>9/24/2026</t>
        </is>
      </c>
      <c r="J42" s="2" t="inlineStr">
        <is>
          <t>2026-09-24T20:07:30.444Z</t>
        </is>
      </c>
      <c r="K42" s="2" t="inlineStr">
        <is>
          <t>Transportation Systems</t>
        </is>
      </c>
      <c r="L42" s="2" t="inlineStr">
        <is>
          <t>Yes</t>
        </is>
      </c>
      <c r="M42" s="2" t="inlineStr">
        <is>
          <t>Likely</t>
        </is>
      </c>
      <c r="N42" s="2" t="inlineStr">
        <is>
          <t>Y</t>
        </is>
      </c>
      <c r="O42" s="2" t="inlineStr">
        <is>
          <t>N</t>
        </is>
      </c>
      <c r="P42" s="2">
        <f>IF(O42="Y",10,0)+IF(G42="Critical",65,IF(G42="High",60,IF(G42="Medium",50,IF(G42="Low",35,0))))</f>
        <v/>
      </c>
      <c r="Q42" s="2" t="inlineStr">
        <is>
          <t>A successful exploit may allow an unauthenticated remote attacker to intercept sensitive device information, resulting in unauthorized access to device identifiers, firmware information, and protected WiFi credentials.</t>
        </is>
      </c>
      <c r="R42" s="2" t="inlineStr">
        <is>
          <t>Affected: Botslab G980H Dashcams prior to unknown version</t>
        </is>
      </c>
      <c r="S42" s="2" t="inlineStr">
        <is>
          <t>No fixed version available — no official patch released</t>
        </is>
      </c>
      <c r="T42" s="2" t="inlineStr">
        <is>
          <t>CWE-1391, CWE-22, CWE-294, CWE-306, CWE-319, CWE-321, CWE-340, CWE-345, CWE-532, CWE-613, CWE-787, CWE-798, CWE-863</t>
        </is>
      </c>
      <c r="U42" s="2" t="inlineStr">
        <is>
          <t>https://www.cisa.gov/news-events/ics-advisories/icsa-26-267-01</t>
        </is>
      </c>
      <c r="V42" s="2" t="inlineStr">
        <is>
          <t>China</t>
        </is>
      </c>
      <c r="W42" s="2" t="inlineStr">
        <is>
          <t>Worldwide</t>
        </is>
      </c>
      <c r="X42" s="2" t="inlineStr"/>
      <c r="Y42" s="2" t="inlineStr">
        <is>
          <t>csv</t>
        </is>
      </c>
    </row>
    <row r="43">
      <c r="A43" s="2" t="inlineStr">
        <is>
          <t>ICSA-26-267-01</t>
        </is>
      </c>
      <c r="B43" s="2" t="inlineStr">
        <is>
          <t>CVE-2026-75558</t>
        </is>
      </c>
      <c r="C43" s="2" t="inlineStr">
        <is>
          <t>Hard-coded key exposes WiFi credentials</t>
        </is>
      </c>
      <c r="D43" s="2" t="inlineStr">
        <is>
          <t>Botslab</t>
        </is>
      </c>
      <c r="E43" s="2" t="inlineStr">
        <is>
          <t>Botslab G980H Dashcams</t>
        </is>
      </c>
      <c r="F43" s="2" t="inlineStr">
        <is>
          <t>8.8</t>
        </is>
      </c>
      <c r="G43" s="2" t="inlineStr">
        <is>
          <t>high</t>
        </is>
      </c>
      <c r="H43" s="2" t="inlineStr">
        <is>
          <t>9/24/2026</t>
        </is>
      </c>
      <c r="I43" s="2" t="inlineStr">
        <is>
          <t>9/24/2026</t>
        </is>
      </c>
      <c r="J43" s="2" t="inlineStr">
        <is>
          <t>2026-09-24T20:11:19.170Z</t>
        </is>
      </c>
      <c r="K43" s="2" t="inlineStr">
        <is>
          <t>Transportation Systems</t>
        </is>
      </c>
      <c r="L43" s="2" t="inlineStr">
        <is>
          <t>Yes</t>
        </is>
      </c>
      <c r="M43" s="2" t="inlineStr">
        <is>
          <t>Likely</t>
        </is>
      </c>
      <c r="N43" s="2" t="inlineStr">
        <is>
          <t>Y</t>
        </is>
      </c>
      <c r="O43" s="2" t="inlineStr">
        <is>
          <t>N</t>
        </is>
      </c>
      <c r="P43" s="2">
        <f>IF(O43="Y",10,0)+IF(G43="Critical",65,IF(G43="High",60,IF(G43="Medium",50,IF(G43="Low",35,0))))</f>
        <v/>
      </c>
      <c r="Q43" s="2" t="inlineStr">
        <is>
          <t>A successful exploit may allow an unauthenticated remote attacker to recover WiFi passwords, resulting in unauthorized network access.</t>
        </is>
      </c>
      <c r="R43" s="2" t="inlineStr">
        <is>
          <t>Affected: Botslab G980H dash cam series prior to unknown version</t>
        </is>
      </c>
      <c r="S43" s="2" t="inlineStr">
        <is>
          <t>No fixed version available — no patch provided</t>
        </is>
      </c>
      <c r="T43" s="2" t="inlineStr">
        <is>
          <t>CWE-1391, CWE-22, CWE-294, CWE-306, CWE-319, CWE-321, CWE-340, CWE-345, CWE-532, CWE-613, CWE-787, CWE-798, CWE-863</t>
        </is>
      </c>
      <c r="U43" s="2" t="inlineStr">
        <is>
          <t>https://www.cisa.gov/news-events/ics-advisories/icsa-26-267-01</t>
        </is>
      </c>
      <c r="V43" s="2" t="inlineStr">
        <is>
          <t>China</t>
        </is>
      </c>
      <c r="W43" s="2" t="inlineStr">
        <is>
          <t>Worldwide</t>
        </is>
      </c>
      <c r="X43" s="2" t="inlineStr"/>
      <c r="Y43" s="2" t="inlineStr">
        <is>
          <t>csv</t>
        </is>
      </c>
    </row>
    <row r="44">
      <c r="A44" s="2" t="inlineStr">
        <is>
          <t>ICSA-26-267-01</t>
        </is>
      </c>
      <c r="B44" s="2" t="inlineStr">
        <is>
          <t>CVE-2026-81630</t>
        </is>
      </c>
      <c r="C44" s="2" t="inlineStr">
        <is>
          <t>Botslab G980H Dashcams</t>
        </is>
      </c>
      <c r="D44" s="2" t="inlineStr">
        <is>
          <t>Botslab</t>
        </is>
      </c>
      <c r="E44" s="2" t="inlineStr">
        <is>
          <t>Botslab G980H Dashcams</t>
        </is>
      </c>
      <c r="F44" s="2" t="inlineStr">
        <is>
          <t>8.8</t>
        </is>
      </c>
      <c r="G44" s="2" t="inlineStr">
        <is>
          <t>high</t>
        </is>
      </c>
      <c r="H44" s="2" t="inlineStr">
        <is>
          <t>9/24/2026</t>
        </is>
      </c>
      <c r="I44" s="2" t="inlineStr">
        <is>
          <t>9/24/2026</t>
        </is>
      </c>
      <c r="J44" s="2" t="inlineStr">
        <is>
          <t>2026-09-24T20:14:42.513Z</t>
        </is>
      </c>
      <c r="K44" s="2" t="inlineStr">
        <is>
          <t>Transportation Systems</t>
        </is>
      </c>
      <c r="L44" s="2" t="inlineStr">
        <is>
          <t>Yes</t>
        </is>
      </c>
      <c r="M44" s="2" t="inlineStr">
        <is>
          <t>Likely</t>
        </is>
      </c>
      <c r="N44" s="2" t="inlineStr">
        <is>
          <t>Y</t>
        </is>
      </c>
      <c r="O44" s="2" t="inlineStr">
        <is>
          <t>N</t>
        </is>
      </c>
      <c r="P44" s="2">
        <f>IF(O44="Y",10,0)+IF(G44="Critical",65,IF(G44="High",60,IF(G44="Medium",50,IF(G44="Low",35,0))))</f>
        <v/>
      </c>
      <c r="Q44" s="2" t="inlineStr">
        <is>
          <t>Path Traversal, Authentication Bypass by Capture-replay, Missing Authentication, Cleartext Transmission, Insufficient Verification, Out-of-Bounds Write / RCE, Hard-coded Credentials, Incorrect Authorization</t>
        </is>
      </c>
      <c r="R44" s="2" t="inlineStr">
        <is>
          <t>G980H dash cam series 30010_QHG980HN5294SysFW+ | G980H dash cam series 58_QHG980HMCN5291SysFW+</t>
        </is>
      </c>
      <c r="S44" s="2" t="inlineStr">
        <is>
          <t>No fixed version available — no official patch released</t>
        </is>
      </c>
      <c r="T44" s="2" t="inlineStr">
        <is>
          <t>CWE-1391, CWE-22, CWE-294, CWE-306, CWE-319, CWE-321, CWE-340, CWE-345, CWE-532, CWE-613, CWE-787, CWE-798, CWE-863</t>
        </is>
      </c>
      <c r="U44" s="2" t="inlineStr">
        <is>
          <t>https://www.cisa.gov/news-events/ics-advisories/icsa-26-267-01</t>
        </is>
      </c>
      <c r="V44" s="2" t="inlineStr">
        <is>
          <t>China</t>
        </is>
      </c>
      <c r="W44" s="2" t="inlineStr">
        <is>
          <t>Worldwide</t>
        </is>
      </c>
      <c r="X44" s="2" t="inlineStr"/>
      <c r="Y44" s="2" t="inlineStr">
        <is>
          <t>csv</t>
        </is>
      </c>
    </row>
    <row r="45">
      <c r="A45" s="2" t="inlineStr">
        <is>
          <t>ICSA-26-267-01</t>
        </is>
      </c>
      <c r="B45" s="2" t="inlineStr">
        <is>
          <t>CVE-2026-87118</t>
        </is>
      </c>
      <c r="C45" s="2" t="inlineStr">
        <is>
          <t>Botslab G980H Dashcams</t>
        </is>
      </c>
      <c r="D45" s="2" t="inlineStr">
        <is>
          <t>Botslab</t>
        </is>
      </c>
      <c r="E45" s="2" t="inlineStr">
        <is>
          <t>Botslab G980H Dashcams</t>
        </is>
      </c>
      <c r="F45" s="2" t="inlineStr">
        <is>
          <t>8.8</t>
        </is>
      </c>
      <c r="G45" s="2" t="inlineStr">
        <is>
          <t>high</t>
        </is>
      </c>
      <c r="H45" s="2" t="inlineStr">
        <is>
          <t>9/24/2026</t>
        </is>
      </c>
      <c r="I45" s="2" t="inlineStr">
        <is>
          <t>9/24/2026</t>
        </is>
      </c>
      <c r="J45" s="2" t="inlineStr">
        <is>
          <t>2026-09-24T20:17:49.712Z</t>
        </is>
      </c>
      <c r="K45" s="2" t="inlineStr">
        <is>
          <t>Transportation Systems</t>
        </is>
      </c>
      <c r="L45" s="2" t="inlineStr">
        <is>
          <t>Yes</t>
        </is>
      </c>
      <c r="M45" s="2" t="inlineStr">
        <is>
          <t>Likely</t>
        </is>
      </c>
      <c r="N45" s="2" t="inlineStr">
        <is>
          <t>Y</t>
        </is>
      </c>
      <c r="O45" s="2" t="inlineStr">
        <is>
          <t>N</t>
        </is>
      </c>
      <c r="P45" s="2">
        <f>IF(O45="Y",10,0)+IF(G45="Critical",65,IF(G45="High",60,IF(G45="Medium",50,IF(G45="Low",35,0))))</f>
        <v/>
      </c>
      <c r="Q45" s="2" t="inlineStr">
        <is>
          <t>Path Traversal, Authentication Bypass by Capture-replay, Missing Authentication, Cleartext Transmission, Insufficient Verification, Out-of-Bounds Write / RCE, Hard-coded Credentials, Incorrect Authorization</t>
        </is>
      </c>
      <c r="R45" s="2" t="inlineStr">
        <is>
          <t>G980H dash cam series 30010_QHG980HN5294SysFW+ | G980H dash cam series 58_QHG980HMCN5291SysFW+</t>
        </is>
      </c>
      <c r="S45" s="2" t="inlineStr">
        <is>
          <t>No fixed version available — no patch released yet</t>
        </is>
      </c>
      <c r="T45" s="2" t="inlineStr">
        <is>
          <t>CWE-1391, CWE-22, CWE-294, CWE-306, CWE-319, CWE-321, CWE-340, CWE-345, CWE-532, CWE-613, CWE-787, CWE-798, CWE-863</t>
        </is>
      </c>
      <c r="U45" s="2" t="inlineStr">
        <is>
          <t>https://www.cisa.gov/news-events/ics-advisories/icsa-26-267-01</t>
        </is>
      </c>
      <c r="V45" s="2" t="inlineStr">
        <is>
          <t>China</t>
        </is>
      </c>
      <c r="W45" s="2" t="inlineStr">
        <is>
          <t>Worldwide</t>
        </is>
      </c>
      <c r="X45" s="2" t="inlineStr"/>
      <c r="Y45" s="2" t="inlineStr">
        <is>
          <t>csv</t>
        </is>
      </c>
    </row>
    <row r="46">
      <c r="A46" s="2" t="inlineStr">
        <is>
          <t>ICSA-26-267-01</t>
        </is>
      </c>
      <c r="B46" s="2" t="inlineStr">
        <is>
          <t>CVE-2026-82708</t>
        </is>
      </c>
      <c r="C46" s="2" t="inlineStr">
        <is>
          <t>Botslab G980H Dashcams</t>
        </is>
      </c>
      <c r="D46" s="2" t="inlineStr">
        <is>
          <t>Botslab</t>
        </is>
      </c>
      <c r="E46" s="2" t="inlineStr">
        <is>
          <t>Botslab G980H Dashcams</t>
        </is>
      </c>
      <c r="F46" s="2" t="inlineStr">
        <is>
          <t>8.8</t>
        </is>
      </c>
      <c r="G46" s="2" t="inlineStr">
        <is>
          <t>high</t>
        </is>
      </c>
      <c r="H46" s="2" t="inlineStr">
        <is>
          <t>9/24/2026</t>
        </is>
      </c>
      <c r="I46" s="2" t="inlineStr">
        <is>
          <t>9/24/2026</t>
        </is>
      </c>
      <c r="J46" s="2" t="inlineStr">
        <is>
          <t>2026-09-24T20:21:35.165Z</t>
        </is>
      </c>
      <c r="K46" s="2" t="inlineStr">
        <is>
          <t>Transportation Systems</t>
        </is>
      </c>
      <c r="L46" s="2" t="inlineStr">
        <is>
          <t>Yes</t>
        </is>
      </c>
      <c r="M46" s="2" t="inlineStr">
        <is>
          <t>Likely</t>
        </is>
      </c>
      <c r="N46" s="2" t="inlineStr">
        <is>
          <t>Y</t>
        </is>
      </c>
      <c r="O46" s="2" t="inlineStr">
        <is>
          <t>N</t>
        </is>
      </c>
      <c r="P46" s="2">
        <f>IF(O46="Y",10,0)+IF(G46="Critical",65,IF(G46="High",60,IF(G46="Medium",50,IF(G46="Low",35,0))))</f>
        <v/>
      </c>
      <c r="Q46" s="2" t="inlineStr">
        <is>
          <t>Path Traversal, Authentication Bypass by Capture-replay, Missing Authentication, Cleartext Transmission, Insufficient Verification, Out-of-Bounds Write / RCE, Hard-coded Credentials, Incorrect Authorization</t>
        </is>
      </c>
      <c r="R46" s="2" t="inlineStr">
        <is>
          <t>G980H dash cam series 30010_QHG980HN5294SysFW+ | G980H dash cam series 58_QHG980HMCN5291SysFW+</t>
        </is>
      </c>
      <c r="S46" s="2" t="inlineStr">
        <is>
          <t>No fixed version available — no official patch released yet</t>
        </is>
      </c>
      <c r="T46" s="2" t="inlineStr">
        <is>
          <t>CWE-1391, CWE-22, CWE-294, CWE-306, CWE-319, CWE-321, CWE-340, CWE-345, CWE-532, CWE-613, CWE-787, CWE-798, CWE-863</t>
        </is>
      </c>
      <c r="U46" s="2" t="inlineStr">
        <is>
          <t>https://www.cisa.gov/news-events/ics-advisories/icsa-26-267-01</t>
        </is>
      </c>
      <c r="V46" s="2" t="inlineStr">
        <is>
          <t>China</t>
        </is>
      </c>
      <c r="W46" s="2" t="inlineStr">
        <is>
          <t>Worldwide</t>
        </is>
      </c>
      <c r="X46" s="2" t="inlineStr"/>
      <c r="Y46" s="2" t="inlineStr">
        <is>
          <t>csv</t>
        </is>
      </c>
    </row>
    <row r="47">
      <c r="A47" s="2" t="inlineStr">
        <is>
          <t>ICSA-26-267-01</t>
        </is>
      </c>
      <c r="B47" s="2" t="inlineStr">
        <is>
          <t>CVE-2026-79959</t>
        </is>
      </c>
      <c r="C47" s="2" t="inlineStr">
        <is>
          <t>Botslab G980H Dashcams</t>
        </is>
      </c>
      <c r="D47" s="2" t="inlineStr">
        <is>
          <t>Botslab</t>
        </is>
      </c>
      <c r="E47" s="2" t="inlineStr">
        <is>
          <t>Botslab G980H Dashcams</t>
        </is>
      </c>
      <c r="F47" s="2" t="inlineStr">
        <is>
          <t>8.8</t>
        </is>
      </c>
      <c r="G47" s="2" t="inlineStr">
        <is>
          <t>high</t>
        </is>
      </c>
      <c r="H47" s="2" t="inlineStr">
        <is>
          <t>9/24/2026</t>
        </is>
      </c>
      <c r="I47" s="2" t="inlineStr">
        <is>
          <t>9/24/2026</t>
        </is>
      </c>
      <c r="J47" s="2" t="inlineStr">
        <is>
          <t>2026-09-24T20:25:02.973Z</t>
        </is>
      </c>
      <c r="K47" s="2" t="inlineStr">
        <is>
          <t>Transportation Systems</t>
        </is>
      </c>
      <c r="L47" s="2" t="inlineStr">
        <is>
          <t>Yes</t>
        </is>
      </c>
      <c r="M47" s="2" t="inlineStr">
        <is>
          <t>Likely</t>
        </is>
      </c>
      <c r="N47" s="2" t="inlineStr">
        <is>
          <t>Y</t>
        </is>
      </c>
      <c r="O47" s="2" t="inlineStr">
        <is>
          <t>N</t>
        </is>
      </c>
      <c r="P47" s="2">
        <f>IF(O47="Y",10,0)+IF(G47="Critical",65,IF(G47="High",60,IF(G47="Medium",50,IF(G47="Low",35,0))))</f>
        <v/>
      </c>
      <c r="Q47" s="2" t="inlineStr">
        <is>
          <t>Path Traversal, Authentication Bypass by Capture-replay, Missing Authentication, Cleartext Transmission, Insufficient Verification, Out-of-Bounds Write / RCE, Hard-coded Credentials, Incorrect Authorization</t>
        </is>
      </c>
      <c r="R47" s="2" t="inlineStr">
        <is>
          <t>G980H dash cam series 30010_QHG980HN5294SysFW+ | G980H dash cam series 58_QHG980HMCN5291SysFW+</t>
        </is>
      </c>
      <c r="S47" s="2" t="inlineStr">
        <is>
          <t>No fixed version available — no patch released by vendor</t>
        </is>
      </c>
      <c r="T47" s="2" t="inlineStr">
        <is>
          <t>CWE-1391, CWE-22, CWE-294, CWE-306, CWE-319, CWE-321, CWE-340, CWE-345, CWE-532, CWE-613, CWE-787, CWE-798, CWE-863</t>
        </is>
      </c>
      <c r="U47" s="2" t="inlineStr">
        <is>
          <t>https://www.cisa.gov/news-events/ics-advisories/icsa-26-267-01</t>
        </is>
      </c>
      <c r="V47" s="2" t="inlineStr">
        <is>
          <t>China</t>
        </is>
      </c>
      <c r="W47" s="2" t="inlineStr">
        <is>
          <t>Worldwide</t>
        </is>
      </c>
      <c r="X47" s="2" t="inlineStr"/>
      <c r="Y47" s="2" t="inlineStr">
        <is>
          <t>csv</t>
        </is>
      </c>
    </row>
    <row r="48">
      <c r="A48" s="2" t="inlineStr">
        <is>
          <t>ICSA-26-267-01</t>
        </is>
      </c>
      <c r="B48" s="2" t="inlineStr">
        <is>
          <t>CVE-2026-82585</t>
        </is>
      </c>
      <c r="C48" s="2" t="inlineStr">
        <is>
          <t>Botslab G980H Dashcams</t>
        </is>
      </c>
      <c r="D48" s="2" t="inlineStr">
        <is>
          <t>Botslab</t>
        </is>
      </c>
      <c r="E48" s="2" t="inlineStr">
        <is>
          <t>Botslab G980H Dashcams</t>
        </is>
      </c>
      <c r="F48" s="2" t="inlineStr">
        <is>
          <t>8.8</t>
        </is>
      </c>
      <c r="G48" s="2" t="inlineStr">
        <is>
          <t>high</t>
        </is>
      </c>
      <c r="H48" s="2" t="inlineStr">
        <is>
          <t>9/24/2026</t>
        </is>
      </c>
      <c r="I48" s="2" t="inlineStr">
        <is>
          <t>9/24/2026</t>
        </is>
      </c>
      <c r="J48" s="2" t="inlineStr">
        <is>
          <t>2026-09-24T20:28:47.491Z</t>
        </is>
      </c>
      <c r="K48" s="2" t="inlineStr">
        <is>
          <t>Transportation Systems</t>
        </is>
      </c>
      <c r="L48" s="2" t="inlineStr">
        <is>
          <t>Yes</t>
        </is>
      </c>
      <c r="M48" s="2" t="inlineStr">
        <is>
          <t>Likely</t>
        </is>
      </c>
      <c r="N48" s="2" t="inlineStr">
        <is>
          <t>Y</t>
        </is>
      </c>
      <c r="O48" s="2" t="inlineStr">
        <is>
          <t>N</t>
        </is>
      </c>
      <c r="P48" s="2">
        <f>IF(O48="Y",10,0)+IF(G48="Critical",65,IF(G48="High",60,IF(G48="Medium",50,IF(G48="Low",35,0))))</f>
        <v/>
      </c>
      <c r="Q48" s="2" t="inlineStr">
        <is>
          <t>Path Traversal, Authentication Bypass by Capture-replay, Missing Authentication, Cleartext Transmission, Insufficient Verification, Out-of-Bounds Write / RCE, Hard-coded Credentials, Incorrect Authorization</t>
        </is>
      </c>
      <c r="R48" s="2" t="inlineStr">
        <is>
          <t>G980H dash cam series 30010_QHG980HN5294SysFW+ | G980H dash cam series 58_QHG980HMCN5291SysFW+</t>
        </is>
      </c>
      <c r="S48" s="2" t="inlineStr">
        <is>
          <t>No fixed version available — contact vendor for updates</t>
        </is>
      </c>
      <c r="T48" s="2" t="inlineStr">
        <is>
          <t>CWE-1391, CWE-22, CWE-294, CWE-306, CWE-319, CWE-321, CWE-340, CWE-345, CWE-532, CWE-613, CWE-787, CWE-798, CWE-863</t>
        </is>
      </c>
      <c r="U48" s="2" t="inlineStr">
        <is>
          <t>https://www.cisa.gov/news-events/ics-advisories/icsa-26-267-01</t>
        </is>
      </c>
      <c r="V48" s="2" t="inlineStr">
        <is>
          <t>China</t>
        </is>
      </c>
      <c r="W48" s="2" t="inlineStr">
        <is>
          <t>Worldwide</t>
        </is>
      </c>
      <c r="X48" s="2" t="inlineStr"/>
      <c r="Y48" s="2" t="inlineStr">
        <is>
          <t>csv</t>
        </is>
      </c>
    </row>
    <row r="49">
      <c r="A49" s="3" t="inlineStr">
        <is>
          <t>ICSA-26-265-09</t>
        </is>
      </c>
      <c r="B49" s="3" t="inlineStr">
        <is>
          <t>CVE-2026-88020</t>
        </is>
      </c>
      <c r="C49" s="3" t="inlineStr">
        <is>
          <t>OpenPLC Runtime v3</t>
        </is>
      </c>
      <c r="D49" s="3" t="inlineStr">
        <is>
          <t>Autonomy Logic</t>
        </is>
      </c>
      <c r="E49" s="3" t="inlineStr">
        <is>
          <t>OpenPLC Runtime v3</t>
        </is>
      </c>
      <c r="F49" s="3" t="inlineStr">
        <is>
          <t>6.1</t>
        </is>
      </c>
      <c r="G49" s="3" t="inlineStr">
        <is>
          <t>medium</t>
        </is>
      </c>
      <c r="H49" s="3" t="inlineStr">
        <is>
          <t>9/22/2026</t>
        </is>
      </c>
      <c r="I49" s="3" t="inlineStr">
        <is>
          <t>9/22/2026</t>
        </is>
      </c>
      <c r="J49" s="3" t="inlineStr">
        <is>
          <t>2026-09-22T20:40:26.449Z</t>
        </is>
      </c>
      <c r="K49" s="3" t="inlineStr">
        <is>
          <t>Critical Manufacturing; Energy; Transportation Systems; Water and Wastewater Systems</t>
        </is>
      </c>
      <c r="L49" s="3" t="inlineStr">
        <is>
          <t>Yes</t>
        </is>
      </c>
      <c r="M49" s="3" t="inlineStr">
        <is>
          <t>Unknown</t>
        </is>
      </c>
      <c r="N49" s="3" t="inlineStr">
        <is>
          <t>Y</t>
        </is>
      </c>
      <c r="O49" s="3" t="inlineStr">
        <is>
          <t>N</t>
        </is>
      </c>
      <c r="P49" s="3">
        <f>IF(O49="Y",10,0)+IF(G49="Critical",65,IF(G49="High",60,IF(G49="Medium",50,IF(G49="Low",35,0))))</f>
        <v/>
      </c>
      <c r="Q49" s="3" t="inlineStr">
        <is>
          <t>Cross-Site Scripting</t>
        </is>
      </c>
      <c r="R49" s="3" t="inlineStr">
        <is>
          <t>OpenPLC 3</t>
        </is>
      </c>
      <c r="S49" s="3" t="inlineStr">
        <is>
          <t>Unknown</t>
        </is>
      </c>
      <c r="T49" s="3" t="inlineStr">
        <is>
          <t>CWE-79</t>
        </is>
      </c>
      <c r="U49" s="3" t="inlineStr">
        <is>
          <t>https://www.cisa.gov/news-events/ics-advisories/icsa-26-265-09</t>
        </is>
      </c>
      <c r="V49" s="3" t="inlineStr">
        <is>
          <t>United States</t>
        </is>
      </c>
      <c r="W49" s="3" t="inlineStr">
        <is>
          <t>Worldwide</t>
        </is>
      </c>
      <c r="X49" s="3" t="inlineStr"/>
      <c r="Y49" s="3" t="inlineStr">
        <is>
          <t>csv</t>
        </is>
      </c>
    </row>
    <row r="50">
      <c r="A50" s="4" t="inlineStr">
        <is>
          <t>ICSA-26-265-08</t>
        </is>
      </c>
      <c r="B50" s="4" t="inlineStr">
        <is>
          <t>CVE-2026-89207</t>
        </is>
      </c>
      <c r="C50" s="4" t="inlineStr">
        <is>
          <t>Siemens WTV676 and WTV776</t>
        </is>
      </c>
      <c r="D50" s="4" t="inlineStr">
        <is>
          <t>Siemens</t>
        </is>
      </c>
      <c r="E50" s="4" t="inlineStr">
        <is>
          <t>Siemens WTV676 and WTV776</t>
        </is>
      </c>
      <c r="F50" s="4" t="inlineStr">
        <is>
          <t>6.5</t>
        </is>
      </c>
      <c r="G50" s="4" t="inlineStr">
        <is>
          <t>medium</t>
        </is>
      </c>
      <c r="H50" s="4" t="inlineStr">
        <is>
          <t>9/22/2026</t>
        </is>
      </c>
      <c r="I50" s="4" t="inlineStr">
        <is>
          <t>9/22/2026</t>
        </is>
      </c>
      <c r="J50" s="4" t="inlineStr">
        <is>
          <t>2026-09-16T07:59:08.075Z</t>
        </is>
      </c>
      <c r="K50" s="4" t="inlineStr">
        <is>
          <t>Energy</t>
        </is>
      </c>
      <c r="L50" s="4" t="inlineStr">
        <is>
          <t>Yes</t>
        </is>
      </c>
      <c r="M50" s="4" t="inlineStr">
        <is>
          <t>Unknown</t>
        </is>
      </c>
      <c r="N50" s="4" t="inlineStr">
        <is>
          <t>Y</t>
        </is>
      </c>
      <c r="O50" s="4" t="inlineStr">
        <is>
          <t>N</t>
        </is>
      </c>
      <c r="P50" s="4">
        <f>IF(O50="Y",10,0)+IF(G50="Critical",65,IF(G50="High",60,IF(G50="Medium",50,IF(G50="Low",35,0))))</f>
        <v/>
      </c>
      <c r="Q50" s="4" t="inlineStr">
        <is>
          <t>Unknown</t>
        </is>
      </c>
      <c r="R50" s="4" t="inlineStr">
        <is>
          <t>WTV676-HB6035 Web Interface | WTV776-HB6035 Web Interface</t>
        </is>
      </c>
      <c r="S50" s="4" t="inlineStr">
        <is>
          <t>Unknown</t>
        </is>
      </c>
      <c r="T50" s="4" t="inlineStr">
        <is>
          <t>CWE-1287</t>
        </is>
      </c>
      <c r="U50" s="4" t="inlineStr">
        <is>
          <t>https://www.cisa.gov/news-events/ics-advisories/icsa-26-265-08</t>
        </is>
      </c>
      <c r="V50" s="4" t="inlineStr">
        <is>
          <t>Germany</t>
        </is>
      </c>
      <c r="W50" s="4" t="inlineStr">
        <is>
          <t>Worldwide</t>
        </is>
      </c>
      <c r="X50" s="4" t="inlineStr"/>
      <c r="Y50" s="4" t="inlineStr">
        <is>
          <t>csv</t>
        </is>
      </c>
    </row>
    <row r="51">
      <c r="A51" s="2" t="inlineStr">
        <is>
          <t>ICSA-26-265-07</t>
        </is>
      </c>
      <c r="B51" s="2" t="inlineStr">
        <is>
          <t>CVE-2026-67367</t>
        </is>
      </c>
      <c r="C51" s="2" t="inlineStr">
        <is>
          <t>Siemens SIMOVE Fleetmanager and SIPLANT</t>
        </is>
      </c>
      <c r="D51" s="2" t="inlineStr">
        <is>
          <t>Siemens</t>
        </is>
      </c>
      <c r="E51" s="2" t="inlineStr">
        <is>
          <t>Siemens SIMOVE Fleetmanager and SIPLANT</t>
        </is>
      </c>
      <c r="F51" s="2" t="inlineStr">
        <is>
          <t>8.6</t>
        </is>
      </c>
      <c r="G51" s="2" t="inlineStr">
        <is>
          <t>high</t>
        </is>
      </c>
      <c r="H51" s="2" t="inlineStr">
        <is>
          <t>9/22/2026</t>
        </is>
      </c>
      <c r="I51" s="2" t="inlineStr">
        <is>
          <t>9/22/2026</t>
        </is>
      </c>
      <c r="J51" s="2" t="inlineStr">
        <is>
          <t>2026-09-08T08:11:36.311Z</t>
        </is>
      </c>
      <c r="K51" s="2" t="inlineStr">
        <is>
          <t>Critical Manufacturing</t>
        </is>
      </c>
      <c r="L51" s="2" t="inlineStr">
        <is>
          <t>Yes</t>
        </is>
      </c>
      <c r="M51" s="2" t="inlineStr">
        <is>
          <t>Likely</t>
        </is>
      </c>
      <c r="N51" s="2" t="inlineStr">
        <is>
          <t>Y</t>
        </is>
      </c>
      <c r="O51" s="2" t="inlineStr">
        <is>
          <t>N</t>
        </is>
      </c>
      <c r="P51" s="2">
        <f>IF(O51="Y",10,0)+IF(G51="Critical",65,IF(G51="High",60,IF(G51="Medium",50,IF(G51="Low",35,0))))</f>
        <v/>
      </c>
      <c r="Q51" s="2" t="inlineStr">
        <is>
          <t>Relative Path Traversal</t>
        </is>
      </c>
      <c r="R51" s="2" t="inlineStr">
        <is>
          <t>SIMOVE Fleetmanager V3.1 | SIMOVE Fleetmanager V3.2 | SIMOVE Fleetmanager V3.3 | SIMOVE Fleetmanager V4.0 | SIPLANT V1.7 | SIPLANT V2.2 | SIPLANT V3.0 | SIPLANT V3.1</t>
        </is>
      </c>
      <c r="S51" s="2" t="inlineStr">
        <is>
          <t>Unknown</t>
        </is>
      </c>
      <c r="T51" s="2" t="inlineStr">
        <is>
          <t>CWE-23</t>
        </is>
      </c>
      <c r="U51" s="2" t="inlineStr">
        <is>
          <t>https://www.cisa.gov/news-events/ics-advisories/icsa-26-265-07</t>
        </is>
      </c>
      <c r="V51" s="2" t="inlineStr">
        <is>
          <t>Germany</t>
        </is>
      </c>
      <c r="W51" s="2" t="inlineStr">
        <is>
          <t>Worldwide</t>
        </is>
      </c>
      <c r="X51" s="2" t="inlineStr"/>
      <c r="Y51" s="2" t="inlineStr">
        <is>
          <t>csv</t>
        </is>
      </c>
    </row>
    <row r="52">
      <c r="A52" s="2" t="inlineStr">
        <is>
          <t>ICSA-26-265-06</t>
        </is>
      </c>
      <c r="B52" s="2" t="inlineStr">
        <is>
          <t>CVE-2026-18963</t>
        </is>
      </c>
      <c r="C52" s="2" t="inlineStr">
        <is>
          <t>Siemens Industrial Edge Management</t>
        </is>
      </c>
      <c r="D52" s="2" t="inlineStr">
        <is>
          <t>Siemens</t>
        </is>
      </c>
      <c r="E52" s="2" t="inlineStr">
        <is>
          <t>Siemens Industrial Edge Management</t>
        </is>
      </c>
      <c r="F52" s="2" t="inlineStr">
        <is>
          <t>9.1</t>
        </is>
      </c>
      <c r="G52" s="2" t="inlineStr">
        <is>
          <t>critical</t>
        </is>
      </c>
      <c r="H52" s="2" t="inlineStr">
        <is>
          <t>9/22/2026</t>
        </is>
      </c>
      <c r="I52" s="2" t="inlineStr">
        <is>
          <t>9/22/2026</t>
        </is>
      </c>
      <c r="J52" s="2" t="inlineStr">
        <is>
          <t>2026-08-18T17:05:07.478Z</t>
        </is>
      </c>
      <c r="K52" s="2" t="inlineStr">
        <is>
          <t>Critical Manufacturing</t>
        </is>
      </c>
      <c r="L52" s="2" t="inlineStr">
        <is>
          <t>Yes</t>
        </is>
      </c>
      <c r="M52" s="2" t="inlineStr">
        <is>
          <t>Likely</t>
        </is>
      </c>
      <c r="N52" s="2" t="inlineStr">
        <is>
          <t>Y</t>
        </is>
      </c>
      <c r="O52" s="2" t="inlineStr">
        <is>
          <t>N</t>
        </is>
      </c>
      <c r="P52" s="2">
        <f>IF(O52="Y",10,0)+IF(G52="Critical",65,IF(G52="High",60,IF(G52="Medium",50,IF(G52="Low",35,0))))</f>
        <v/>
      </c>
      <c r="Q52" s="2" t="inlineStr">
        <is>
          <t>Unknown</t>
        </is>
      </c>
      <c r="R52" s="2" t="inlineStr">
        <is>
          <t>Industrial Edge Management Cloud | Industrial Edge Management Pro V1 |&lt;1.15.20 | Industrial Edge Management Pro V2 |&lt;2.2.2 | Industrial Edge Management Virtual |&lt;2.9.1</t>
        </is>
      </c>
      <c r="S52" s="2" t="inlineStr">
        <is>
          <t>1.15.20</t>
        </is>
      </c>
      <c r="T52" s="2" t="inlineStr">
        <is>
          <t>CWE-640</t>
        </is>
      </c>
      <c r="U52" s="2" t="inlineStr">
        <is>
          <t>https://www.cisa.gov/news-events/ics-advisories/icsa-26-265-06</t>
        </is>
      </c>
      <c r="V52" s="2" t="inlineStr">
        <is>
          <t>Germany</t>
        </is>
      </c>
      <c r="W52" s="2" t="inlineStr">
        <is>
          <t>Worldwide</t>
        </is>
      </c>
      <c r="X52" s="2" t="inlineStr"/>
      <c r="Y52" s="2" t="inlineStr">
        <is>
          <t>csv</t>
        </is>
      </c>
    </row>
    <row r="53">
      <c r="A53" s="2" t="inlineStr">
        <is>
          <t>ICSA-26-265-05</t>
        </is>
      </c>
      <c r="B53" s="2" t="inlineStr">
        <is>
          <t>CVE-2026-34223</t>
        </is>
      </c>
      <c r="C53" s="2" t="inlineStr">
        <is>
          <t>Siemens Desigo CC family</t>
        </is>
      </c>
      <c r="D53" s="2" t="inlineStr">
        <is>
          <t>Siemens</t>
        </is>
      </c>
      <c r="E53" s="2" t="inlineStr">
        <is>
          <t>Siemens Desigo CC family</t>
        </is>
      </c>
      <c r="F53" s="2" t="inlineStr">
        <is>
          <t>8.2</t>
        </is>
      </c>
      <c r="G53" s="2" t="inlineStr">
        <is>
          <t>high</t>
        </is>
      </c>
      <c r="H53" s="2" t="inlineStr">
        <is>
          <t>9/22/2026</t>
        </is>
      </c>
      <c r="I53" s="2" t="inlineStr">
        <is>
          <t>9/22/2026</t>
        </is>
      </c>
      <c r="J53" s="2" t="inlineStr">
        <is>
          <t>2026-09-08T08:11:17.139Z</t>
        </is>
      </c>
      <c r="K53" s="2" t="inlineStr">
        <is>
          <t>Critical Manufacturing; Commercial Facilities</t>
        </is>
      </c>
      <c r="L53" s="2" t="inlineStr">
        <is>
          <t>Yes</t>
        </is>
      </c>
      <c r="M53" s="2" t="inlineStr">
        <is>
          <t>Likely</t>
        </is>
      </c>
      <c r="N53" s="2" t="inlineStr">
        <is>
          <t>Y</t>
        </is>
      </c>
      <c r="O53" s="2" t="inlineStr">
        <is>
          <t>N</t>
        </is>
      </c>
      <c r="P53" s="2">
        <f>IF(O53="Y",10,0)+IF(G53="Critical",65,IF(G53="High",60,IF(G53="Medium",50,IF(G53="Low",35,0))))</f>
        <v/>
      </c>
      <c r="Q53" s="2" t="inlineStr">
        <is>
          <t>Code Injection</t>
        </is>
      </c>
      <c r="R53" s="2" t="inlineStr">
        <is>
          <t>Desigo CC family V6 | Desigo CC family V7</t>
        </is>
      </c>
      <c r="S53" s="2" t="inlineStr">
        <is>
          <t>Unknown</t>
        </is>
      </c>
      <c r="T53" s="2" t="inlineStr">
        <is>
          <t>CWE-94</t>
        </is>
      </c>
      <c r="U53" s="2" t="inlineStr">
        <is>
          <t>https://www.cisa.gov/news-events/ics-advisories/icsa-26-265-05</t>
        </is>
      </c>
      <c r="V53" s="2" t="inlineStr">
        <is>
          <t>Germany</t>
        </is>
      </c>
      <c r="W53" s="2" t="inlineStr">
        <is>
          <t>Worldwide</t>
        </is>
      </c>
      <c r="X53" s="2" t="inlineStr"/>
      <c r="Y53" s="2" t="inlineStr">
        <is>
          <t>csv</t>
        </is>
      </c>
    </row>
    <row r="54">
      <c r="A54" s="2" t="inlineStr">
        <is>
          <t>ICSA-26-265-04</t>
        </is>
      </c>
      <c r="B54" s="2" t="inlineStr">
        <is>
          <t>CVE-2026-31431</t>
        </is>
      </c>
      <c r="C54" s="2" t="inlineStr">
        <is>
          <t>Siemens SIPLUS and SIMATIC Products</t>
        </is>
      </c>
      <c r="D54" s="2" t="inlineStr">
        <is>
          <t>Siemens</t>
        </is>
      </c>
      <c r="E54" s="2" t="inlineStr">
        <is>
          <t>Siemens SIPLUS and SIMATIC Products</t>
        </is>
      </c>
      <c r="F54" s="2" t="inlineStr">
        <is>
          <t>7.8</t>
        </is>
      </c>
      <c r="G54" s="2" t="inlineStr">
        <is>
          <t>high</t>
        </is>
      </c>
      <c r="H54" s="2" t="inlineStr">
        <is>
          <t>9/22/2026</t>
        </is>
      </c>
      <c r="I54" s="2" t="inlineStr">
        <is>
          <t>9/22/2026</t>
        </is>
      </c>
      <c r="J54" s="2" t="inlineStr">
        <is>
          <t>2026-04-22T08:15:10.123Z</t>
        </is>
      </c>
      <c r="K54" s="2" t="inlineStr">
        <is>
          <t>Critical Manufacturing; Energy; Water and Wastewater Systems; Chemical; Food and Agriculture; Commercial Facilities</t>
        </is>
      </c>
      <c r="L54" s="2" t="inlineStr">
        <is>
          <t>Yes</t>
        </is>
      </c>
      <c r="M54" s="2" t="inlineStr">
        <is>
          <t>Likely</t>
        </is>
      </c>
      <c r="N54" s="2" t="inlineStr">
        <is>
          <t>Y</t>
        </is>
      </c>
      <c r="O54" s="2" t="inlineStr">
        <is>
          <t>N</t>
        </is>
      </c>
      <c r="P54" s="2">
        <f>IF(O54="Y",10,0)+IF(G54="Critical",65,IF(G54="High",60,IF(G54="Medium",50,IF(G54="Low",35,0))))</f>
        <v/>
      </c>
      <c r="Q54" s="2" t="inlineStr">
        <is>
          <t>Unknown</t>
        </is>
      </c>
      <c r="R54" s="2" t="inlineStr">
        <is>
          <t>SIMATIC AX Runtime Core Linux Common Debian | SIMATIC AX Runtime Core Linux Common Debian arm64 | SIMATIC AX Runtime Core Linux Platform Container Common Debian Development | SIMATIC AX Runtime Cor…</t>
        </is>
      </c>
      <c r="S54" s="2" t="inlineStr">
        <is>
          <t>Unknown</t>
        </is>
      </c>
      <c r="T54" s="2" t="inlineStr">
        <is>
          <t>CWE-669</t>
        </is>
      </c>
      <c r="U54" s="2" t="inlineStr">
        <is>
          <t>https://www.cisa.gov/news-events/ics-advisories/icsa-26-265-04</t>
        </is>
      </c>
      <c r="V54" s="2" t="inlineStr">
        <is>
          <t>Germany</t>
        </is>
      </c>
      <c r="W54" s="2" t="inlineStr">
        <is>
          <t>Worldwide</t>
        </is>
      </c>
      <c r="X54" s="2" t="inlineStr"/>
      <c r="Y54" s="2" t="inlineStr">
        <is>
          <t>csv</t>
        </is>
      </c>
    </row>
    <row r="55">
      <c r="A55" s="2" t="inlineStr">
        <is>
          <t>ICSA-26-265-03</t>
        </is>
      </c>
      <c r="B55" s="2" t="inlineStr">
        <is>
          <t>CVE-2026-50093</t>
        </is>
      </c>
      <c r="C55" s="2" t="inlineStr">
        <is>
          <t>Siemens Siveillance Control</t>
        </is>
      </c>
      <c r="D55" s="2" t="inlineStr">
        <is>
          <t>Siemens</t>
        </is>
      </c>
      <c r="E55" s="2" t="inlineStr">
        <is>
          <t>Siemens Siveillance Control</t>
        </is>
      </c>
      <c r="F55" s="2" t="inlineStr">
        <is>
          <t>9.0</t>
        </is>
      </c>
      <c r="G55" s="2" t="inlineStr">
        <is>
          <t>critical</t>
        </is>
      </c>
      <c r="H55" s="2" t="inlineStr">
        <is>
          <t>9/22/2026</t>
        </is>
      </c>
      <c r="I55" s="2" t="inlineStr">
        <is>
          <t>9/22/2026</t>
        </is>
      </c>
      <c r="J55" s="2" t="inlineStr">
        <is>
          <t>2026-09-08T08:11:18.207Z</t>
        </is>
      </c>
      <c r="K55" s="2" t="inlineStr">
        <is>
          <t>Critical Manufacturing; Communications; Commercial Facilities</t>
        </is>
      </c>
      <c r="L55" s="2" t="inlineStr">
        <is>
          <t>Yes</t>
        </is>
      </c>
      <c r="M55" s="2" t="inlineStr">
        <is>
          <t>Likely</t>
        </is>
      </c>
      <c r="N55" s="2" t="inlineStr">
        <is>
          <t>Y</t>
        </is>
      </c>
      <c r="O55" s="2" t="inlineStr">
        <is>
          <t>N</t>
        </is>
      </c>
      <c r="P55" s="2">
        <f>IF(O55="Y",10,0)+IF(G55="Critical",65,IF(G55="High",60,IF(G55="Medium",50,IF(G55="Low",35,0))))</f>
        <v/>
      </c>
      <c r="Q55" s="2" t="inlineStr">
        <is>
          <t>Unrestricted File Upload</t>
        </is>
      </c>
      <c r="R55" s="2" t="inlineStr">
        <is>
          <t>Siveillance Control Pro V3.0 | Siveillance Control Pro V4.0 | Siveillance Control V3.0 | Siveillance Control V4.0</t>
        </is>
      </c>
      <c r="S55" s="2" t="inlineStr">
        <is>
          <t>Unknown</t>
        </is>
      </c>
      <c r="T55" s="2" t="inlineStr">
        <is>
          <t>CWE-434</t>
        </is>
      </c>
      <c r="U55" s="2" t="inlineStr">
        <is>
          <t>https://www.cisa.gov/news-events/ics-advisories/icsa-26-265-03</t>
        </is>
      </c>
      <c r="V55" s="2" t="inlineStr">
        <is>
          <t>Germany</t>
        </is>
      </c>
      <c r="W55" s="2" t="inlineStr">
        <is>
          <t>Worldwide</t>
        </is>
      </c>
      <c r="X55" s="2" t="inlineStr"/>
      <c r="Y55" s="2" t="inlineStr">
        <is>
          <t>csv</t>
        </is>
      </c>
    </row>
    <row r="56">
      <c r="A56" s="2" t="inlineStr">
        <is>
          <t>ICSA-26-265-02</t>
        </is>
      </c>
      <c r="B56" s="2" t="inlineStr">
        <is>
          <t>CVE-2026-91018</t>
        </is>
      </c>
      <c r="C56" s="2" t="inlineStr">
        <is>
          <t>lwIP (Lightweight IP)</t>
        </is>
      </c>
      <c r="D56" s="2" t="inlineStr">
        <is>
          <t>lwIP</t>
        </is>
      </c>
      <c r="E56" s="2" t="inlineStr">
        <is>
          <t>lwIP (Lightweight IP)</t>
        </is>
      </c>
      <c r="F56" s="2" t="inlineStr">
        <is>
          <t>8.8</t>
        </is>
      </c>
      <c r="G56" s="2" t="inlineStr">
        <is>
          <t>high</t>
        </is>
      </c>
      <c r="H56" s="2" t="inlineStr">
        <is>
          <t>9/22/2026</t>
        </is>
      </c>
      <c r="I56" s="2" t="inlineStr">
        <is>
          <t>9/22/2026</t>
        </is>
      </c>
      <c r="J56" s="2" t="inlineStr">
        <is>
          <t>2026-09-22T20:25:33.530Z</t>
        </is>
      </c>
      <c r="K56" s="2" t="inlineStr">
        <is>
          <t>Chemical; Communications; Critical Manufacturing; Energy; Financial Services; Healthcare and Public Health; Transportation Systems; Water and Wastewater Systems</t>
        </is>
      </c>
      <c r="L56" s="2" t="inlineStr">
        <is>
          <t>Yes</t>
        </is>
      </c>
      <c r="M56" s="2" t="inlineStr">
        <is>
          <t>Likely</t>
        </is>
      </c>
      <c r="N56" s="2" t="inlineStr">
        <is>
          <t>Y</t>
        </is>
      </c>
      <c r="O56" s="2" t="inlineStr">
        <is>
          <t>N</t>
        </is>
      </c>
      <c r="P56" s="2">
        <f>IF(O56="Y",10,0)+IF(G56="Critical",65,IF(G56="High",60,IF(G56="Medium",50,IF(G56="Low",35,0))))</f>
        <v/>
      </c>
      <c r="Q56" s="2" t="inlineStr">
        <is>
          <t>Unknown</t>
        </is>
      </c>
      <c r="R56" s="2" t="inlineStr">
        <is>
          <t>API &gt;=2.0.1|&lt;=2.2.1</t>
        </is>
      </c>
      <c r="S56" s="2" t="inlineStr">
        <is>
          <t>2.2.1</t>
        </is>
      </c>
      <c r="T56" s="2" t="inlineStr">
        <is>
          <t>CWE-415</t>
        </is>
      </c>
      <c r="U56" s="2" t="inlineStr">
        <is>
          <t>https://www.cisa.gov/news-events/ics-advisories/icsa-26-265-02</t>
        </is>
      </c>
      <c r="V56" s="2" t="inlineStr">
        <is>
          <t>Sweden</t>
        </is>
      </c>
      <c r="W56" s="2" t="inlineStr">
        <is>
          <t>Worldwide</t>
        </is>
      </c>
      <c r="X56" s="2" t="inlineStr"/>
      <c r="Y56" s="2" t="inlineStr">
        <is>
          <t>csv</t>
        </is>
      </c>
    </row>
    <row r="57">
      <c r="A57" s="2" t="inlineStr">
        <is>
          <t>ICSA-26-265-01</t>
        </is>
      </c>
      <c r="B57" s="2" t="inlineStr">
        <is>
          <t>CVE-2026-87121</t>
        </is>
      </c>
      <c r="C57" s="2" t="inlineStr">
        <is>
          <t>lwIP TCP/IP Stack MQTT Client Application</t>
        </is>
      </c>
      <c r="D57" s="2" t="inlineStr">
        <is>
          <t>lwIP</t>
        </is>
      </c>
      <c r="E57" s="2" t="inlineStr">
        <is>
          <t>lwIP TCP/IP Stack MQTT Client Application</t>
        </is>
      </c>
      <c r="F57" s="2" t="inlineStr">
        <is>
          <t>9.8</t>
        </is>
      </c>
      <c r="G57" s="2" t="inlineStr">
        <is>
          <t>critical</t>
        </is>
      </c>
      <c r="H57" s="2" t="inlineStr">
        <is>
          <t>9/22/2026</t>
        </is>
      </c>
      <c r="I57" s="2" t="inlineStr">
        <is>
          <t>9/22/2026</t>
        </is>
      </c>
      <c r="J57" s="2" t="inlineStr">
        <is>
          <t>2026-09-22T19:48:25.046Z</t>
        </is>
      </c>
      <c r="K57" s="2" t="inlineStr">
        <is>
          <t>Chemical; Communications; Critical Manufacturing; Energy; Financial Services; Healthcare and Public Health; Transportation Systems; Water and Wastewater Systems</t>
        </is>
      </c>
      <c r="L57" s="2" t="inlineStr">
        <is>
          <t>Yes</t>
        </is>
      </c>
      <c r="M57" s="2" t="inlineStr">
        <is>
          <t>Likely</t>
        </is>
      </c>
      <c r="N57" s="2" t="inlineStr">
        <is>
          <t>Y</t>
        </is>
      </c>
      <c r="O57" s="2" t="inlineStr">
        <is>
          <t>N</t>
        </is>
      </c>
      <c r="P57" s="2">
        <f>IF(O57="Y",10,0)+IF(G57="Critical",65,IF(G57="High",60,IF(G57="Medium",50,IF(G57="Low",35,0))))</f>
        <v/>
      </c>
      <c r="Q57" s="2" t="inlineStr">
        <is>
          <t>Out-of-Bounds Write / RCE</t>
        </is>
      </c>
      <c r="R57" s="2" t="inlineStr">
        <is>
          <t>MQTT Client Application &gt;=2.0.1|&lt;=2.2.1</t>
        </is>
      </c>
      <c r="S57" s="2" t="inlineStr">
        <is>
          <t>2.2.1</t>
        </is>
      </c>
      <c r="T57" s="2" t="inlineStr">
        <is>
          <t>CWE-787</t>
        </is>
      </c>
      <c r="U57" s="2" t="inlineStr">
        <is>
          <t>https://www.cisa.gov/news-events/ics-advisories/icsa-26-265-01</t>
        </is>
      </c>
      <c r="V57" s="2" t="inlineStr">
        <is>
          <t>Sweden</t>
        </is>
      </c>
      <c r="W57" s="2" t="inlineStr">
        <is>
          <t>Worldwide</t>
        </is>
      </c>
      <c r="X57" s="2" t="inlineStr"/>
      <c r="Y57" s="2" t="inlineStr">
        <is>
          <t>csv</t>
        </is>
      </c>
    </row>
    <row r="58">
      <c r="A58" s="4" t="inlineStr">
        <is>
          <t>ICSA-26-260-07</t>
        </is>
      </c>
      <c r="B58" s="4" t="inlineStr">
        <is>
          <t>CVE-2026-13348</t>
        </is>
      </c>
      <c r="C58" s="4" t="inlineStr">
        <is>
          <t>Schneider Electric PowerChute Serial Shutdown</t>
        </is>
      </c>
      <c r="D58" s="4" t="inlineStr">
        <is>
          <t>Schneider Electric</t>
        </is>
      </c>
      <c r="E58" s="4" t="inlineStr">
        <is>
          <t>Schneider Electric PowerChute Serial Shutdown</t>
        </is>
      </c>
      <c r="F58" s="4" t="inlineStr">
        <is>
          <t>5.3</t>
        </is>
      </c>
      <c r="G58" s="4" t="inlineStr">
        <is>
          <t>medium</t>
        </is>
      </c>
      <c r="H58" s="4" t="inlineStr">
        <is>
          <t>9/17/2026</t>
        </is>
      </c>
      <c r="I58" s="4" t="inlineStr">
        <is>
          <t>9/17/2026</t>
        </is>
      </c>
      <c r="J58" s="4" t="inlineStr">
        <is>
          <t>2026-09-01T13:31:50.307Z</t>
        </is>
      </c>
      <c r="K58" s="4" t="inlineStr">
        <is>
          <t>Commercial Facilities; Critical Manufacturing; Energy; Information Technology</t>
        </is>
      </c>
      <c r="L58" s="4" t="inlineStr">
        <is>
          <t>Yes</t>
        </is>
      </c>
      <c r="M58" s="4" t="inlineStr">
        <is>
          <t>Unknown</t>
        </is>
      </c>
      <c r="N58" s="4" t="inlineStr">
        <is>
          <t>Y</t>
        </is>
      </c>
      <c r="O58" s="4" t="inlineStr">
        <is>
          <t>N</t>
        </is>
      </c>
      <c r="P58" s="4">
        <f>IF(O58="Y",10,0)+IF(G58="Critical",65,IF(G58="High",60,IF(G58="Medium",50,IF(G58="Low",35,0))))</f>
        <v/>
      </c>
      <c r="Q58" s="4" t="inlineStr">
        <is>
          <t>Unknown</t>
        </is>
      </c>
      <c r="R58" s="4" t="inlineStr">
        <is>
          <t>PowerChute Serial Shutdown 1.6</t>
        </is>
      </c>
      <c r="S58" s="4" t="inlineStr">
        <is>
          <t>Unknown</t>
        </is>
      </c>
      <c r="T58" s="4" t="inlineStr">
        <is>
          <t>CWE-307</t>
        </is>
      </c>
      <c r="U58" s="4" t="inlineStr">
        <is>
          <t>https://www.cisa.gov/news-events/ics-advisories/icsa-26-260-07</t>
        </is>
      </c>
      <c r="V58" s="4" t="inlineStr">
        <is>
          <t>France</t>
        </is>
      </c>
      <c r="W58" s="4" t="inlineStr">
        <is>
          <t>Worldwide</t>
        </is>
      </c>
      <c r="X58" s="4" t="inlineStr"/>
      <c r="Y58" s="4" t="inlineStr">
        <is>
          <t>csv</t>
        </is>
      </c>
    </row>
    <row r="59">
      <c r="A59" s="2" t="inlineStr">
        <is>
          <t>ICSA-26-260-06</t>
        </is>
      </c>
      <c r="B59" s="2" t="inlineStr">
        <is>
          <t>CVE-2026-31431</t>
        </is>
      </c>
      <c r="C59" s="2" t="inlineStr">
        <is>
          <t>ABB Ability Edgenius</t>
        </is>
      </c>
      <c r="D59" s="2" t="inlineStr">
        <is>
          <t>ABB</t>
        </is>
      </c>
      <c r="E59" s="2" t="inlineStr">
        <is>
          <t>ABB Ability Edgenius</t>
        </is>
      </c>
      <c r="F59" s="2" t="inlineStr">
        <is>
          <t>7.8</t>
        </is>
      </c>
      <c r="G59" s="2" t="inlineStr">
        <is>
          <t>high</t>
        </is>
      </c>
      <c r="H59" s="2" t="inlineStr">
        <is>
          <t>9/17/2026</t>
        </is>
      </c>
      <c r="I59" s="2" t="inlineStr">
        <is>
          <t>9/17/2026</t>
        </is>
      </c>
      <c r="J59" s="2" t="inlineStr">
        <is>
          <t>2026-04-22T08:15:10.123Z</t>
        </is>
      </c>
      <c r="K59" s="2" t="inlineStr">
        <is>
          <t>Critical Manufacturing; Energy; Water and Wastewater Systems; Chemical</t>
        </is>
      </c>
      <c r="L59" s="2" t="inlineStr">
        <is>
          <t>Yes</t>
        </is>
      </c>
      <c r="M59" s="2" t="inlineStr">
        <is>
          <t>Likely</t>
        </is>
      </c>
      <c r="N59" s="2" t="inlineStr">
        <is>
          <t>Y</t>
        </is>
      </c>
      <c r="O59" s="2" t="inlineStr">
        <is>
          <t>N</t>
        </is>
      </c>
      <c r="P59" s="2">
        <f>IF(O59="Y",10,0)+IF(G59="Critical",65,IF(G59="High",60,IF(G59="Medium",50,IF(G59="Low",35,0))))</f>
        <v/>
      </c>
      <c r="Q59" s="2" t="inlineStr">
        <is>
          <t>Unknown</t>
        </is>
      </c>
      <c r="R59" s="2" t="inlineStr">
        <is>
          <t>Ability Edgenius &gt;=3.2.0.0|&lt;3.2.4.1, 3.2.4.1</t>
        </is>
      </c>
      <c r="S59" s="2" t="inlineStr">
        <is>
          <t>3.2.4.1</t>
        </is>
      </c>
      <c r="T59" s="2" t="inlineStr">
        <is>
          <t>CWE-669</t>
        </is>
      </c>
      <c r="U59" s="2" t="inlineStr">
        <is>
          <t>https://www.cisa.gov/news-events/ics-advisories/icsa-26-260-06</t>
        </is>
      </c>
      <c r="V59" s="2" t="inlineStr">
        <is>
          <t>Switzerland</t>
        </is>
      </c>
      <c r="W59" s="2" t="inlineStr">
        <is>
          <t>Worldwide</t>
        </is>
      </c>
      <c r="X59" s="2" t="inlineStr"/>
      <c r="Y59" s="2" t="inlineStr">
        <is>
          <t>csv</t>
        </is>
      </c>
    </row>
    <row r="60">
      <c r="A60" s="4" t="inlineStr">
        <is>
          <t>ICSA-26-260-05</t>
        </is>
      </c>
      <c r="B60" s="4" t="inlineStr">
        <is>
          <t>CVE-2026-13336</t>
        </is>
      </c>
      <c r="C60" s="4" t="inlineStr">
        <is>
          <t>Schneider Electric NetBotz 5 750/755</t>
        </is>
      </c>
      <c r="D60" s="4" t="inlineStr">
        <is>
          <t>Schneider Electric</t>
        </is>
      </c>
      <c r="E60" s="4" t="inlineStr">
        <is>
          <t>Schneider Electric NetBotz 5 750/755</t>
        </is>
      </c>
      <c r="F60" s="4" t="inlineStr">
        <is>
          <t>6.4</t>
        </is>
      </c>
      <c r="G60" s="4" t="inlineStr">
        <is>
          <t>medium</t>
        </is>
      </c>
      <c r="H60" s="4" t="inlineStr">
        <is>
          <t>9/17/2026</t>
        </is>
      </c>
      <c r="I60" s="4" t="inlineStr">
        <is>
          <t>9/17/2026</t>
        </is>
      </c>
      <c r="J60" s="4" t="inlineStr">
        <is>
          <t>2026-09-01T13:27:07.467Z</t>
        </is>
      </c>
      <c r="K60" s="4" t="inlineStr">
        <is>
          <t>Commercial Facilities; Critical Manufacturing; Information Technology</t>
        </is>
      </c>
      <c r="L60" s="4" t="inlineStr">
        <is>
          <t>Yes</t>
        </is>
      </c>
      <c r="M60" s="4" t="inlineStr">
        <is>
          <t>Unknown</t>
        </is>
      </c>
      <c r="N60" s="4" t="inlineStr">
        <is>
          <t>Y</t>
        </is>
      </c>
      <c r="O60" s="4" t="inlineStr">
        <is>
          <t>N</t>
        </is>
      </c>
      <c r="P60" s="4">
        <f>IF(O60="Y",10,0)+IF(G60="Critical",65,IF(G60="High",60,IF(G60="Medium",50,IF(G60="Low",35,0))))</f>
        <v/>
      </c>
      <c r="Q60" s="4" t="inlineStr">
        <is>
          <t>OS Command Injection</t>
        </is>
      </c>
      <c r="R60" s="4" t="inlineStr">
        <is>
          <t>NetBotz 5 750 | NetBotz 5 755</t>
        </is>
      </c>
      <c r="S60" s="4" t="inlineStr">
        <is>
          <t>Unknown</t>
        </is>
      </c>
      <c r="T60" s="4" t="inlineStr">
        <is>
          <t>CWE-564, CWE-78</t>
        </is>
      </c>
      <c r="U60" s="4" t="inlineStr">
        <is>
          <t>https://www.cisa.gov/news-events/ics-advisories/icsa-26-260-05</t>
        </is>
      </c>
      <c r="V60" s="4" t="inlineStr">
        <is>
          <t>France</t>
        </is>
      </c>
      <c r="W60" s="4" t="inlineStr">
        <is>
          <t>Worldwide</t>
        </is>
      </c>
      <c r="X60" s="4" t="inlineStr"/>
      <c r="Y60" s="4" t="inlineStr">
        <is>
          <t>csv</t>
        </is>
      </c>
    </row>
    <row r="61">
      <c r="A61" s="3" t="inlineStr">
        <is>
          <t>ICSA-26-260-05</t>
        </is>
      </c>
      <c r="B61" s="3" t="inlineStr">
        <is>
          <t>CVE-2026-13337</t>
        </is>
      </c>
      <c r="C61" s="3" t="inlineStr">
        <is>
          <t>Schneider Electric NetBotz 5 750/755</t>
        </is>
      </c>
      <c r="D61" s="3" t="inlineStr">
        <is>
          <t>Schneider Electric</t>
        </is>
      </c>
      <c r="E61" s="3" t="inlineStr">
        <is>
          <t>Schneider Electric NetBotz 5 750/755</t>
        </is>
      </c>
      <c r="F61" s="3" t="inlineStr">
        <is>
          <t>6.4</t>
        </is>
      </c>
      <c r="G61" s="3" t="inlineStr">
        <is>
          <t>medium</t>
        </is>
      </c>
      <c r="H61" s="3" t="inlineStr">
        <is>
          <t>9/17/2026</t>
        </is>
      </c>
      <c r="I61" s="3" t="inlineStr">
        <is>
          <t>9/17/2026</t>
        </is>
      </c>
      <c r="J61" s="3" t="inlineStr">
        <is>
          <t>2026-09-01T13:29:06.914Z</t>
        </is>
      </c>
      <c r="K61" s="3" t="inlineStr">
        <is>
          <t>Commercial Facilities; Critical Manufacturing; Information Technology</t>
        </is>
      </c>
      <c r="L61" s="3" t="inlineStr">
        <is>
          <t>Yes</t>
        </is>
      </c>
      <c r="M61" s="3" t="inlineStr">
        <is>
          <t>Unknown</t>
        </is>
      </c>
      <c r="N61" s="3" t="inlineStr">
        <is>
          <t>Y</t>
        </is>
      </c>
      <c r="O61" s="3" t="inlineStr">
        <is>
          <t>N</t>
        </is>
      </c>
      <c r="P61" s="3">
        <f>IF(O61="Y",10,0)+IF(G61="Critical",65,IF(G61="High",60,IF(G61="Medium",50,IF(G61="Low",35,0))))</f>
        <v/>
      </c>
      <c r="Q61" s="3" t="inlineStr">
        <is>
          <t>OS Command Injection</t>
        </is>
      </c>
      <c r="R61" s="3" t="inlineStr">
        <is>
          <t>NetBotz 5 750 | NetBotz 5 755</t>
        </is>
      </c>
      <c r="S61" s="3" t="inlineStr">
        <is>
          <t>Unknown</t>
        </is>
      </c>
      <c r="T61" s="3" t="inlineStr">
        <is>
          <t>CWE-564, CWE-78</t>
        </is>
      </c>
      <c r="U61" s="3" t="inlineStr">
        <is>
          <t>https://www.cisa.gov/news-events/ics-advisories/icsa-26-260-05</t>
        </is>
      </c>
      <c r="V61" s="3" t="inlineStr">
        <is>
          <t>France</t>
        </is>
      </c>
      <c r="W61" s="3" t="inlineStr">
        <is>
          <t>Worldwide</t>
        </is>
      </c>
      <c r="X61" s="3" t="inlineStr"/>
      <c r="Y61" s="3" t="inlineStr">
        <is>
          <t>csv</t>
        </is>
      </c>
    </row>
    <row r="62">
      <c r="A62" s="2" t="inlineStr">
        <is>
          <t>ICSA-26-260-04</t>
        </is>
      </c>
      <c r="B62" s="2" t="inlineStr">
        <is>
          <t>CVE-2025-6625</t>
        </is>
      </c>
      <c r="C62" s="2" t="inlineStr">
        <is>
          <t>Schneider Electric Modicon M340 Controller and Communication Modules</t>
        </is>
      </c>
      <c r="D62" s="2" t="inlineStr">
        <is>
          <t>Schneider Electric</t>
        </is>
      </c>
      <c r="E62" s="2" t="inlineStr">
        <is>
          <t>Schneider Electric Modicon M340 Controller and Communication Modules</t>
        </is>
      </c>
      <c r="F62" s="2" t="inlineStr">
        <is>
          <t>7.5</t>
        </is>
      </c>
      <c r="G62" s="2" t="inlineStr">
        <is>
          <t>high</t>
        </is>
      </c>
      <c r="H62" s="2" t="inlineStr">
        <is>
          <t>9/17/2026</t>
        </is>
      </c>
      <c r="I62" s="2" t="inlineStr">
        <is>
          <t>9/17/2026</t>
        </is>
      </c>
      <c r="J62" s="2" t="inlineStr">
        <is>
          <t>2025-08-18T06:58:15.222Z</t>
        </is>
      </c>
      <c r="K62" s="2" t="inlineStr">
        <is>
          <t>Chemical; Commercial Facilities; Critical Manufacturing; Energy; Water and Wastewater Systems</t>
        </is>
      </c>
      <c r="L62" s="2" t="inlineStr">
        <is>
          <t>Yes</t>
        </is>
      </c>
      <c r="M62" s="2" t="inlineStr">
        <is>
          <t>Likely</t>
        </is>
      </c>
      <c r="N62" s="2" t="inlineStr">
        <is>
          <t>Y</t>
        </is>
      </c>
      <c r="O62" s="2" t="inlineStr">
        <is>
          <t>N</t>
        </is>
      </c>
      <c r="P62" s="2">
        <f>IF(O62="Y",10,0)+IF(G62="Critical",65,IF(G62="High",60,IF(G62="Medium",50,IF(G62="Low",35,0))))</f>
        <v/>
      </c>
      <c r="Q62" s="2" t="inlineStr">
        <is>
          <t>Improper Input Validation</t>
        </is>
      </c>
      <c r="R62" s="2" t="inlineStr">
        <is>
          <t>Schneider Electric Ethernet/Serial RTU Module: | Schneider Electric M580 Global Data module: | Schneider Electric Ethernet / Serial RTU Module: | Schneider Electric Modbus/TCP Ethernet Modicon M340…</t>
        </is>
      </c>
      <c r="S62" s="2" t="inlineStr">
        <is>
          <t>SV3.70</t>
        </is>
      </c>
      <c r="T62" s="2" t="inlineStr">
        <is>
          <t>CWE-20</t>
        </is>
      </c>
      <c r="U62" s="2" t="inlineStr">
        <is>
          <t>https://www.cisa.gov/news-events/ics-advisories/icsa-26-260-04</t>
        </is>
      </c>
      <c r="V62" s="2" t="inlineStr">
        <is>
          <t>France</t>
        </is>
      </c>
      <c r="W62" s="2" t="inlineStr">
        <is>
          <t>Worldwide</t>
        </is>
      </c>
      <c r="X62" s="2" t="inlineStr"/>
      <c r="Y62" s="2" t="inlineStr">
        <is>
          <t>csv</t>
        </is>
      </c>
    </row>
    <row r="63">
      <c r="A63" s="2" t="inlineStr">
        <is>
          <t>ICSA-26-260-03</t>
        </is>
      </c>
      <c r="B63" s="2" t="inlineStr">
        <is>
          <t>CVE-2024-4872</t>
        </is>
      </c>
      <c r="C63" s="2" t="inlineStr">
        <is>
          <t>Hitachi Energy FACTS Control Platform (FCP)</t>
        </is>
      </c>
      <c r="D63" s="2" t="inlineStr">
        <is>
          <t>Hitachi Energy</t>
        </is>
      </c>
      <c r="E63" s="2" t="inlineStr">
        <is>
          <t>Hitachi Energy FACTS Control Platform (FCP)</t>
        </is>
      </c>
      <c r="F63" s="2" t="inlineStr">
        <is>
          <t>9.9</t>
        </is>
      </c>
      <c r="G63" s="2" t="inlineStr">
        <is>
          <t>critical</t>
        </is>
      </c>
      <c r="H63" s="2" t="inlineStr">
        <is>
          <t>9/17/2026</t>
        </is>
      </c>
      <c r="I63" s="2" t="inlineStr">
        <is>
          <t>9/17/2026</t>
        </is>
      </c>
      <c r="J63" s="2" t="inlineStr">
        <is>
          <t>2024-08-27T12:37:28.958Z</t>
        </is>
      </c>
      <c r="K63" s="2" t="inlineStr">
        <is>
          <t>Energy</t>
        </is>
      </c>
      <c r="L63" s="2" t="inlineStr">
        <is>
          <t>Yes</t>
        </is>
      </c>
      <c r="M63" s="2" t="inlineStr">
        <is>
          <t>Likely</t>
        </is>
      </c>
      <c r="N63" s="2" t="inlineStr">
        <is>
          <t>Y</t>
        </is>
      </c>
      <c r="O63" s="2" t="inlineStr">
        <is>
          <t>N</t>
        </is>
      </c>
      <c r="P63" s="2">
        <f>IF(O63="Y",10,0)+IF(G63="Critical",65,IF(G63="High",60,IF(G63="Medium",50,IF(G63="Low",35,0))))</f>
        <v/>
      </c>
      <c r="Q63" s="2" t="inlineStr">
        <is>
          <t>Path Traversal, Authentication Bypass by Capture-replay, Missing Authentication, Open Redirect</t>
        </is>
      </c>
      <c r="R63" s="2" t="inlineStr">
        <is>
          <t>FACTS Control Platform (FCP) 3.4.0, 3.7.0, 3.8.0, 3.10.0, 3.12.0, 3.14.0, 3.15.0, 4.0.0, 4.0.1, 4.1.0, 4.1.1</t>
        </is>
      </c>
      <c r="S63" s="2" t="inlineStr">
        <is>
          <t>Unknown</t>
        </is>
      </c>
      <c r="T63" s="2" t="inlineStr">
        <is>
          <t>CWE-22, CWE-294, CWE-306, CWE-601, CWE-943</t>
        </is>
      </c>
      <c r="U63" s="2" t="inlineStr">
        <is>
          <t>https://www.cisa.gov/news-events/ics-advisories/icsa-26-260-03</t>
        </is>
      </c>
      <c r="V63" s="2" t="inlineStr">
        <is>
          <t>Switzerland</t>
        </is>
      </c>
      <c r="W63" s="2" t="inlineStr">
        <is>
          <t>Worldwide</t>
        </is>
      </c>
      <c r="X63" s="2" t="inlineStr"/>
      <c r="Y63" s="2" t="inlineStr">
        <is>
          <t>csv</t>
        </is>
      </c>
    </row>
    <row r="64">
      <c r="A64" s="2" t="inlineStr">
        <is>
          <t>ICSA-26-260-03</t>
        </is>
      </c>
      <c r="B64" s="2" t="inlineStr">
        <is>
          <t>CVE-2024-3980</t>
        </is>
      </c>
      <c r="C64" s="2" t="inlineStr">
        <is>
          <t>Hitachi Energy FACTS Control Platform (FCP)</t>
        </is>
      </c>
      <c r="D64" s="2" t="inlineStr">
        <is>
          <t>Hitachi Energy</t>
        </is>
      </c>
      <c r="E64" s="2" t="inlineStr">
        <is>
          <t>Hitachi Energy FACTS Control Platform (FCP)</t>
        </is>
      </c>
      <c r="F64" s="2" t="inlineStr">
        <is>
          <t>9.9</t>
        </is>
      </c>
      <c r="G64" s="2" t="inlineStr">
        <is>
          <t>critical</t>
        </is>
      </c>
      <c r="H64" s="2" t="inlineStr">
        <is>
          <t>9/17/2026</t>
        </is>
      </c>
      <c r="I64" s="2" t="inlineStr">
        <is>
          <t>9/17/2026</t>
        </is>
      </c>
      <c r="J64" s="2" t="inlineStr">
        <is>
          <t>2024-08-27T12:42:41.124Z</t>
        </is>
      </c>
      <c r="K64" s="2" t="inlineStr">
        <is>
          <t>Energy</t>
        </is>
      </c>
      <c r="L64" s="2" t="inlineStr">
        <is>
          <t>Yes</t>
        </is>
      </c>
      <c r="M64" s="2" t="inlineStr">
        <is>
          <t>Likely</t>
        </is>
      </c>
      <c r="N64" s="2" t="inlineStr">
        <is>
          <t>Y</t>
        </is>
      </c>
      <c r="O64" s="2" t="inlineStr">
        <is>
          <t>N</t>
        </is>
      </c>
      <c r="P64" s="2">
        <f>IF(O64="Y",10,0)+IF(G64="Critical",65,IF(G64="High",60,IF(G64="Medium",50,IF(G64="Low",35,0))))</f>
        <v/>
      </c>
      <c r="Q64" s="2" t="inlineStr">
        <is>
          <t>Path Traversal, Authentication Bypass by Capture-replay, Missing Authentication, Open Redirect</t>
        </is>
      </c>
      <c r="R64" s="2" t="inlineStr">
        <is>
          <t>FACTS Control Platform (FCP) 3.4.0, 3.7.0, 3.8.0, 3.10.0, 3.12.0, 3.14.0, 3.15.0, 4.0.0, 4.0.1, 4.1.0, 4.1.1</t>
        </is>
      </c>
      <c r="S64" s="2" t="inlineStr">
        <is>
          <t>Unknown</t>
        </is>
      </c>
      <c r="T64" s="2" t="inlineStr">
        <is>
          <t>CWE-22, CWE-294, CWE-306, CWE-601, CWE-943</t>
        </is>
      </c>
      <c r="U64" s="2" t="inlineStr">
        <is>
          <t>https://www.cisa.gov/news-events/ics-advisories/icsa-26-260-03</t>
        </is>
      </c>
      <c r="V64" s="2" t="inlineStr">
        <is>
          <t>Switzerland</t>
        </is>
      </c>
      <c r="W64" s="2" t="inlineStr">
        <is>
          <t>Worldwide</t>
        </is>
      </c>
      <c r="X64" s="2" t="inlineStr"/>
      <c r="Y64" s="2" t="inlineStr">
        <is>
          <t>csv</t>
        </is>
      </c>
    </row>
    <row r="65">
      <c r="A65" s="2" t="inlineStr">
        <is>
          <t>ICSA-26-260-03</t>
        </is>
      </c>
      <c r="B65" s="2" t="inlineStr">
        <is>
          <t>CVE-2024-3982</t>
        </is>
      </c>
      <c r="C65" s="2" t="inlineStr">
        <is>
          <t>Hitachi Energy FACTS Control Platform (FCP)</t>
        </is>
      </c>
      <c r="D65" s="2" t="inlineStr">
        <is>
          <t>Hitachi Energy</t>
        </is>
      </c>
      <c r="E65" s="2" t="inlineStr">
        <is>
          <t>Hitachi Energy FACTS Control Platform (FCP)</t>
        </is>
      </c>
      <c r="F65" s="2" t="inlineStr">
        <is>
          <t>9.9</t>
        </is>
      </c>
      <c r="G65" s="2" t="inlineStr">
        <is>
          <t>critical</t>
        </is>
      </c>
      <c r="H65" s="2" t="inlineStr">
        <is>
          <t>9/17/2026</t>
        </is>
      </c>
      <c r="I65" s="2" t="inlineStr">
        <is>
          <t>9/17/2026</t>
        </is>
      </c>
      <c r="J65" s="2" t="inlineStr">
        <is>
          <t>2024-08-27T12:47:21.577Z</t>
        </is>
      </c>
      <c r="K65" s="2" t="inlineStr">
        <is>
          <t>Energy</t>
        </is>
      </c>
      <c r="L65" s="2" t="inlineStr">
        <is>
          <t>Yes</t>
        </is>
      </c>
      <c r="M65" s="2" t="inlineStr">
        <is>
          <t>Likely</t>
        </is>
      </c>
      <c r="N65" s="2" t="inlineStr">
        <is>
          <t>Y</t>
        </is>
      </c>
      <c r="O65" s="2" t="inlineStr">
        <is>
          <t>N</t>
        </is>
      </c>
      <c r="P65" s="2">
        <f>IF(O65="Y",10,0)+IF(G65="Critical",65,IF(G65="High",60,IF(G65="Medium",50,IF(G65="Low",35,0))))</f>
        <v/>
      </c>
      <c r="Q65" s="2" t="inlineStr">
        <is>
          <t>Path Traversal, Authentication Bypass by Capture-replay, Missing Authentication, Open Redirect</t>
        </is>
      </c>
      <c r="R65" s="2" t="inlineStr">
        <is>
          <t>FACTS Control Platform (FCP) 3.4.0, 3.7.0, 3.8.0, 3.10.0, 3.12.0, 3.14.0, 3.15.0, 4.0.0, 4.0.1, 4.1.0, 4.1.1</t>
        </is>
      </c>
      <c r="S65" s="2" t="inlineStr">
        <is>
          <t>Unknown</t>
        </is>
      </c>
      <c r="T65" s="2" t="inlineStr">
        <is>
          <t>CWE-22, CWE-294, CWE-306, CWE-601, CWE-943</t>
        </is>
      </c>
      <c r="U65" s="2" t="inlineStr">
        <is>
          <t>https://www.cisa.gov/news-events/ics-advisories/icsa-26-260-03</t>
        </is>
      </c>
      <c r="V65" s="2" t="inlineStr">
        <is>
          <t>Switzerland</t>
        </is>
      </c>
      <c r="W65" s="2" t="inlineStr">
        <is>
          <t>Worldwide</t>
        </is>
      </c>
      <c r="X65" s="2" t="inlineStr"/>
      <c r="Y65" s="2" t="inlineStr">
        <is>
          <t>csv</t>
        </is>
      </c>
    </row>
    <row r="66">
      <c r="A66" s="2" t="inlineStr">
        <is>
          <t>ICSA-26-260-03</t>
        </is>
      </c>
      <c r="B66" s="2" t="inlineStr">
        <is>
          <t>CVE-2024-7940</t>
        </is>
      </c>
      <c r="C66" s="2" t="inlineStr">
        <is>
          <t>Hitachi Energy FACTS Control Platform (FCP)</t>
        </is>
      </c>
      <c r="D66" s="2" t="inlineStr">
        <is>
          <t>Hitachi Energy</t>
        </is>
      </c>
      <c r="E66" s="2" t="inlineStr">
        <is>
          <t>Hitachi Energy FACTS Control Platform (FCP)</t>
        </is>
      </c>
      <c r="F66" s="2" t="inlineStr">
        <is>
          <t>9.9</t>
        </is>
      </c>
      <c r="G66" s="2" t="inlineStr">
        <is>
          <t>critical</t>
        </is>
      </c>
      <c r="H66" s="2" t="inlineStr">
        <is>
          <t>9/17/2026</t>
        </is>
      </c>
      <c r="I66" s="2" t="inlineStr">
        <is>
          <t>9/17/2026</t>
        </is>
      </c>
      <c r="J66" s="2" t="inlineStr">
        <is>
          <t>2024-08-27T12:52:24.601Z</t>
        </is>
      </c>
      <c r="K66" s="2" t="inlineStr">
        <is>
          <t>Energy</t>
        </is>
      </c>
      <c r="L66" s="2" t="inlineStr">
        <is>
          <t>Yes</t>
        </is>
      </c>
      <c r="M66" s="2" t="inlineStr">
        <is>
          <t>Likely</t>
        </is>
      </c>
      <c r="N66" s="2" t="inlineStr">
        <is>
          <t>Y</t>
        </is>
      </c>
      <c r="O66" s="2" t="inlineStr">
        <is>
          <t>N</t>
        </is>
      </c>
      <c r="P66" s="2">
        <f>IF(O66="Y",10,0)+IF(G66="Critical",65,IF(G66="High",60,IF(G66="Medium",50,IF(G66="Low",35,0))))</f>
        <v/>
      </c>
      <c r="Q66" s="2" t="inlineStr">
        <is>
          <t>Path Traversal, Authentication Bypass by Capture-replay, Missing Authentication, Open Redirect</t>
        </is>
      </c>
      <c r="R66" s="2" t="inlineStr">
        <is>
          <t>FACTS Control Platform (FCP) 3.4.0, 3.7.0, 3.8.0, 3.10.0, 3.12.0, 3.14.0, 3.15.0, 4.0.0, 4.0.1, 4.1.0, 4.1.1</t>
        </is>
      </c>
      <c r="S66" s="2" t="inlineStr">
        <is>
          <t>Unknown</t>
        </is>
      </c>
      <c r="T66" s="2" t="inlineStr">
        <is>
          <t>CWE-22, CWE-294, CWE-306, CWE-601, CWE-943</t>
        </is>
      </c>
      <c r="U66" s="2" t="inlineStr">
        <is>
          <t>https://www.cisa.gov/news-events/ics-advisories/icsa-26-260-03</t>
        </is>
      </c>
      <c r="V66" s="2" t="inlineStr">
        <is>
          <t>Switzerland</t>
        </is>
      </c>
      <c r="W66" s="2" t="inlineStr">
        <is>
          <t>Worldwide</t>
        </is>
      </c>
      <c r="X66" s="2" t="inlineStr"/>
      <c r="Y66" s="2" t="inlineStr">
        <is>
          <t>csv</t>
        </is>
      </c>
    </row>
    <row r="67">
      <c r="A67" s="2" t="inlineStr">
        <is>
          <t>ICSA-26-260-03</t>
        </is>
      </c>
      <c r="B67" s="2" t="inlineStr">
        <is>
          <t>CVE-2024-7941</t>
        </is>
      </c>
      <c r="C67" s="2" t="inlineStr">
        <is>
          <t>Hitachi Energy FACTS Control Platform (FCP)</t>
        </is>
      </c>
      <c r="D67" s="2" t="inlineStr">
        <is>
          <t>Hitachi Energy</t>
        </is>
      </c>
      <c r="E67" s="2" t="inlineStr">
        <is>
          <t>Hitachi Energy FACTS Control Platform (FCP)</t>
        </is>
      </c>
      <c r="F67" s="2" t="inlineStr">
        <is>
          <t>9.9</t>
        </is>
      </c>
      <c r="G67" s="2" t="inlineStr">
        <is>
          <t>critical</t>
        </is>
      </c>
      <c r="H67" s="2" t="inlineStr">
        <is>
          <t>9/17/2026</t>
        </is>
      </c>
      <c r="I67" s="2" t="inlineStr">
        <is>
          <t>9/17/2026</t>
        </is>
      </c>
      <c r="J67" s="2" t="inlineStr">
        <is>
          <t>2024-08-27T12:57:55.044Z</t>
        </is>
      </c>
      <c r="K67" s="2" t="inlineStr">
        <is>
          <t>Energy</t>
        </is>
      </c>
      <c r="L67" s="2" t="inlineStr">
        <is>
          <t>Yes</t>
        </is>
      </c>
      <c r="M67" s="2" t="inlineStr">
        <is>
          <t>Likely</t>
        </is>
      </c>
      <c r="N67" s="2" t="inlineStr">
        <is>
          <t>Y</t>
        </is>
      </c>
      <c r="O67" s="2" t="inlineStr">
        <is>
          <t>N</t>
        </is>
      </c>
      <c r="P67" s="2">
        <f>IF(O67="Y",10,0)+IF(G67="Critical",65,IF(G67="High",60,IF(G67="Medium",50,IF(G67="Low",35,0))))</f>
        <v/>
      </c>
      <c r="Q67" s="2" t="inlineStr">
        <is>
          <t>Path Traversal, Authentication Bypass by Capture-replay, Missing Authentication, Open Redirect</t>
        </is>
      </c>
      <c r="R67" s="2" t="inlineStr">
        <is>
          <t>FACTS Control Platform (FCP) 3.4.0, 3.7.0, 3.8.0, 3.10.0, 3.12.0, 3.14.0, 3.15.0, 4.0.0, 4.0.1, 4.1.0, 4.1.1</t>
        </is>
      </c>
      <c r="S67" s="2" t="inlineStr">
        <is>
          <t>Unknown</t>
        </is>
      </c>
      <c r="T67" s="2" t="inlineStr">
        <is>
          <t>CWE-22, CWE-294, CWE-306, CWE-601, CWE-943</t>
        </is>
      </c>
      <c r="U67" s="2" t="inlineStr">
        <is>
          <t>https://www.cisa.gov/news-events/ics-advisories/icsa-26-260-03</t>
        </is>
      </c>
      <c r="V67" s="2" t="inlineStr">
        <is>
          <t>Switzerland</t>
        </is>
      </c>
      <c r="W67" s="2" t="inlineStr">
        <is>
          <t>Worldwide</t>
        </is>
      </c>
      <c r="X67" s="2" t="inlineStr"/>
      <c r="Y67" s="2" t="inlineStr">
        <is>
          <t>csv</t>
        </is>
      </c>
    </row>
    <row r="68">
      <c r="A68" s="2" t="inlineStr">
        <is>
          <t>ICSA-26-260-02</t>
        </is>
      </c>
      <c r="B68" s="2" t="inlineStr">
        <is>
          <t>CVE-2026-15688</t>
        </is>
      </c>
      <c r="C68" s="2" t="inlineStr">
        <is>
          <t>Mitsubishi Electric GX Works3 and Motion Control Settings</t>
        </is>
      </c>
      <c r="D68" s="2" t="inlineStr">
        <is>
          <t>Mitsubishi Electric</t>
        </is>
      </c>
      <c r="E68" s="2" t="inlineStr">
        <is>
          <t>Mitsubishi Electric GX Works3 and Motion Control Settings</t>
        </is>
      </c>
      <c r="F68" s="2" t="inlineStr">
        <is>
          <t>8.8</t>
        </is>
      </c>
      <c r="G68" s="2" t="inlineStr">
        <is>
          <t>high</t>
        </is>
      </c>
      <c r="H68" s="2" t="inlineStr">
        <is>
          <t>9/17/2026</t>
        </is>
      </c>
      <c r="I68" s="2" t="inlineStr">
        <is>
          <t>9/17/2026</t>
        </is>
      </c>
      <c r="J68" s="2" t="inlineStr">
        <is>
          <t>2026-09-17T08:15:27.769Z</t>
        </is>
      </c>
      <c r="K68" s="2" t="inlineStr">
        <is>
          <t>Critical Manufacturing</t>
        </is>
      </c>
      <c r="L68" s="2" t="inlineStr">
        <is>
          <t>Yes</t>
        </is>
      </c>
      <c r="M68" s="2" t="inlineStr">
        <is>
          <t>Likely</t>
        </is>
      </c>
      <c r="N68" s="2" t="inlineStr">
        <is>
          <t>Y</t>
        </is>
      </c>
      <c r="O68" s="2" t="inlineStr">
        <is>
          <t>N</t>
        </is>
      </c>
      <c r="P68" s="2">
        <f>IF(O68="Y",10,0)+IF(G68="Critical",65,IF(G68="High",60,IF(G68="Medium",50,IF(G68="Low",35,0))))</f>
        <v/>
      </c>
      <c r="Q68" s="2" t="inlineStr">
        <is>
          <t>Unknown</t>
        </is>
      </c>
      <c r="R68" s="2" t="inlineStr">
        <is>
          <t>Mitsubishi Electric GX Works3 | Mitsubishi Electric Motion Control Settings (Software packaged with GX Works3)</t>
        </is>
      </c>
      <c r="S68" s="2" t="inlineStr">
        <is>
          <t>Unknown</t>
        </is>
      </c>
      <c r="T68" s="2" t="inlineStr">
        <is>
          <t>CWE-303</t>
        </is>
      </c>
      <c r="U68" s="2" t="inlineStr">
        <is>
          <t>https://www.cisa.gov/news-events/ics-advisories/icsa-26-260-02</t>
        </is>
      </c>
      <c r="V68" s="2" t="inlineStr">
        <is>
          <t>Japan</t>
        </is>
      </c>
      <c r="W68" s="2" t="inlineStr">
        <is>
          <t>Worldwide</t>
        </is>
      </c>
      <c r="X68" s="2" t="inlineStr"/>
      <c r="Y68" s="2" t="inlineStr">
        <is>
          <t>csv</t>
        </is>
      </c>
    </row>
    <row r="69">
      <c r="A69" s="2" t="inlineStr">
        <is>
          <t>ICSA-26-260-01</t>
        </is>
      </c>
      <c r="B69" s="2" t="inlineStr">
        <is>
          <t>CVE-2026-86520</t>
        </is>
      </c>
      <c r="C69" s="2" t="inlineStr">
        <is>
          <t>Bransys ELD</t>
        </is>
      </c>
      <c r="D69" s="2" t="inlineStr">
        <is>
          <t>Bransys</t>
        </is>
      </c>
      <c r="E69" s="2" t="inlineStr">
        <is>
          <t>Bransys ELD</t>
        </is>
      </c>
      <c r="F69" s="2" t="inlineStr">
        <is>
          <t>7.5</t>
        </is>
      </c>
      <c r="G69" s="2" t="inlineStr">
        <is>
          <t>high</t>
        </is>
      </c>
      <c r="H69" s="2" t="inlineStr">
        <is>
          <t>9/17/2026</t>
        </is>
      </c>
      <c r="I69" s="2" t="inlineStr">
        <is>
          <t>9/17/2026</t>
        </is>
      </c>
      <c r="J69" s="2" t="inlineStr">
        <is>
          <t>2026-09-18T15:43:54.433Z</t>
        </is>
      </c>
      <c r="K69" s="2" t="inlineStr">
        <is>
          <t>Transportation Systems</t>
        </is>
      </c>
      <c r="L69" s="2" t="inlineStr">
        <is>
          <t>Yes</t>
        </is>
      </c>
      <c r="M69" s="2" t="inlineStr">
        <is>
          <t>Likely</t>
        </is>
      </c>
      <c r="N69" s="2" t="inlineStr">
        <is>
          <t>Y</t>
        </is>
      </c>
      <c r="O69" s="2" t="inlineStr">
        <is>
          <t>N</t>
        </is>
      </c>
      <c r="P69" s="2">
        <f>IF(O69="Y",10,0)+IF(G69="Critical",65,IF(G69="High",60,IF(G69="Medium",50,IF(G69="Low",35,0))))</f>
        <v/>
      </c>
      <c r="Q69" s="2" t="inlineStr">
        <is>
          <t>Cleartext Transmission, Hard-coded Credentials</t>
        </is>
      </c>
      <c r="R69" s="2" t="inlineStr">
        <is>
          <t>Android &lt;11.00.00 | iOS &lt;1.1.54</t>
        </is>
      </c>
      <c r="S69" s="2" t="inlineStr">
        <is>
          <t>11.00.00</t>
        </is>
      </c>
      <c r="T69" s="2" t="inlineStr">
        <is>
          <t>CWE-319, CWE-798</t>
        </is>
      </c>
      <c r="U69" s="2" t="inlineStr">
        <is>
          <t>https://www.cisa.gov/news-events/ics-advisories/icsa-26-260-01</t>
        </is>
      </c>
      <c r="V69" s="2" t="inlineStr">
        <is>
          <t>United States</t>
        </is>
      </c>
      <c r="W69" s="2" t="inlineStr">
        <is>
          <t>United States</t>
        </is>
      </c>
      <c r="X69" s="2" t="inlineStr"/>
      <c r="Y69" s="2" t="inlineStr">
        <is>
          <t>csv</t>
        </is>
      </c>
    </row>
    <row r="70">
      <c r="A70" s="2" t="inlineStr">
        <is>
          <t>ICSA-26-260-01</t>
        </is>
      </c>
      <c r="B70" s="2" t="inlineStr">
        <is>
          <t>CVE-2026-86689</t>
        </is>
      </c>
      <c r="C70" s="2" t="inlineStr">
        <is>
          <t>Bransys ELD</t>
        </is>
      </c>
      <c r="D70" s="2" t="inlineStr">
        <is>
          <t>Bransys</t>
        </is>
      </c>
      <c r="E70" s="2" t="inlineStr">
        <is>
          <t>Bransys ELD</t>
        </is>
      </c>
      <c r="F70" s="2" t="inlineStr">
        <is>
          <t>7.5</t>
        </is>
      </c>
      <c r="G70" s="2" t="inlineStr">
        <is>
          <t>high</t>
        </is>
      </c>
      <c r="H70" s="2" t="inlineStr">
        <is>
          <t>9/17/2026</t>
        </is>
      </c>
      <c r="I70" s="2" t="inlineStr">
        <is>
          <t>9/17/2026</t>
        </is>
      </c>
      <c r="J70" s="2" t="inlineStr">
        <is>
          <t>2026-09-18T15:48:16.061Z</t>
        </is>
      </c>
      <c r="K70" s="2" t="inlineStr">
        <is>
          <t>Transportation Systems</t>
        </is>
      </c>
      <c r="L70" s="2" t="inlineStr">
        <is>
          <t>Yes</t>
        </is>
      </c>
      <c r="M70" s="2" t="inlineStr">
        <is>
          <t>Likely</t>
        </is>
      </c>
      <c r="N70" s="2" t="inlineStr">
        <is>
          <t>Y</t>
        </is>
      </c>
      <c r="O70" s="2" t="inlineStr">
        <is>
          <t>N</t>
        </is>
      </c>
      <c r="P70" s="2">
        <f>IF(O70="Y",10,0)+IF(G70="Critical",65,IF(G70="High",60,IF(G70="Medium",50,IF(G70="Low",35,0))))</f>
        <v/>
      </c>
      <c r="Q70" s="2" t="inlineStr">
        <is>
          <t>Cleartext Transmission, Hard-coded Credentials</t>
        </is>
      </c>
      <c r="R70" s="2" t="inlineStr">
        <is>
          <t>Android &lt;11.00.00 | iOS &lt;1.1.54</t>
        </is>
      </c>
      <c r="S70" s="2" t="inlineStr">
        <is>
          <t>11.00.00</t>
        </is>
      </c>
      <c r="T70" s="2" t="inlineStr">
        <is>
          <t>CWE-319, CWE-798</t>
        </is>
      </c>
      <c r="U70" s="2" t="inlineStr">
        <is>
          <t>https://www.cisa.gov/news-events/ics-advisories/icsa-26-260-01</t>
        </is>
      </c>
      <c r="V70" s="2" t="inlineStr">
        <is>
          <t>United States</t>
        </is>
      </c>
      <c r="W70" s="2" t="inlineStr">
        <is>
          <t>United States</t>
        </is>
      </c>
      <c r="X70" s="2" t="inlineStr"/>
      <c r="Y70" s="2" t="inlineStr">
        <is>
          <t>csv</t>
        </is>
      </c>
    </row>
    <row r="71">
      <c r="A71" s="2" t="inlineStr">
        <is>
          <t>ICSA-26-260-01</t>
        </is>
      </c>
      <c r="B71" s="2" t="inlineStr">
        <is>
          <t>CVE-2026-77960</t>
        </is>
      </c>
      <c r="C71" s="2" t="inlineStr">
        <is>
          <t>Bransys ELD</t>
        </is>
      </c>
      <c r="D71" s="2" t="inlineStr">
        <is>
          <t>Bransys</t>
        </is>
      </c>
      <c r="E71" s="2" t="inlineStr">
        <is>
          <t>Bransys ELD</t>
        </is>
      </c>
      <c r="F71" s="2" t="inlineStr">
        <is>
          <t>7.5</t>
        </is>
      </c>
      <c r="G71" s="2" t="inlineStr">
        <is>
          <t>high</t>
        </is>
      </c>
      <c r="H71" s="2" t="inlineStr">
        <is>
          <t>9/17/2026</t>
        </is>
      </c>
      <c r="I71" s="2" t="inlineStr">
        <is>
          <t>9/17/2026</t>
        </is>
      </c>
      <c r="J71" s="2" t="inlineStr">
        <is>
          <t>2026-09-18T15:51:22.222Z</t>
        </is>
      </c>
      <c r="K71" s="2" t="inlineStr">
        <is>
          <t>Transportation Systems</t>
        </is>
      </c>
      <c r="L71" s="2" t="inlineStr">
        <is>
          <t>Yes</t>
        </is>
      </c>
      <c r="M71" s="2" t="inlineStr">
        <is>
          <t>Likely</t>
        </is>
      </c>
      <c r="N71" s="2" t="inlineStr">
        <is>
          <t>Y</t>
        </is>
      </c>
      <c r="O71" s="2" t="inlineStr">
        <is>
          <t>N</t>
        </is>
      </c>
      <c r="P71" s="2">
        <f>IF(O71="Y",10,0)+IF(G71="Critical",65,IF(G71="High",60,IF(G71="Medium",50,IF(G71="Low",35,0))))</f>
        <v/>
      </c>
      <c r="Q71" s="2" t="inlineStr">
        <is>
          <t>Cleartext Transmission, Hard-coded Credentials</t>
        </is>
      </c>
      <c r="R71" s="2" t="inlineStr">
        <is>
          <t>Android &lt;11.00.00 | iOS &lt;1.1.54</t>
        </is>
      </c>
      <c r="S71" s="2" t="inlineStr">
        <is>
          <t>11.00.00</t>
        </is>
      </c>
      <c r="T71" s="2" t="inlineStr">
        <is>
          <t>CWE-319, CWE-798</t>
        </is>
      </c>
      <c r="U71" s="2" t="inlineStr">
        <is>
          <t>https://www.cisa.gov/news-events/ics-advisories/icsa-26-260-01</t>
        </is>
      </c>
      <c r="V71" s="2" t="inlineStr">
        <is>
          <t>United States</t>
        </is>
      </c>
      <c r="W71" s="2" t="inlineStr">
        <is>
          <t>United States</t>
        </is>
      </c>
      <c r="X71" s="2" t="inlineStr"/>
      <c r="Y71" s="2" t="inlineStr">
        <is>
          <t>csv</t>
        </is>
      </c>
    </row>
    <row r="72">
      <c r="A72" s="2" t="inlineStr">
        <is>
          <t>ICSA-26-258-08</t>
        </is>
      </c>
      <c r="B72" s="2" t="inlineStr">
        <is>
          <t>CVE-2026-88259</t>
        </is>
      </c>
      <c r="C72" s="2" t="inlineStr">
        <is>
          <t>CareCam CM2507</t>
        </is>
      </c>
      <c r="D72" s="2" t="inlineStr">
        <is>
          <t>CareCam</t>
        </is>
      </c>
      <c r="E72" s="2" t="inlineStr">
        <is>
          <t>CareCam CM2507</t>
        </is>
      </c>
      <c r="F72" s="2" t="inlineStr">
        <is>
          <t>7.5</t>
        </is>
      </c>
      <c r="G72" s="2" t="inlineStr">
        <is>
          <t>high</t>
        </is>
      </c>
      <c r="H72" s="2" t="inlineStr">
        <is>
          <t>9/15/2026</t>
        </is>
      </c>
      <c r="I72" s="2" t="inlineStr">
        <is>
          <t>9/15/2026</t>
        </is>
      </c>
      <c r="J72" s="2" t="inlineStr">
        <is>
          <t>2026-09-18T16:05:06.400Z</t>
        </is>
      </c>
      <c r="K72" s="2" t="inlineStr">
        <is>
          <t>Commercial Facilities</t>
        </is>
      </c>
      <c r="L72" s="2" t="inlineStr">
        <is>
          <t>Yes</t>
        </is>
      </c>
      <c r="M72" s="2" t="inlineStr">
        <is>
          <t>Likely</t>
        </is>
      </c>
      <c r="N72" s="2" t="inlineStr">
        <is>
          <t>Y</t>
        </is>
      </c>
      <c r="O72" s="2" t="inlineStr">
        <is>
          <t>N</t>
        </is>
      </c>
      <c r="P72" s="2">
        <f>IF(O72="Y",10,0)+IF(G72="Critical",65,IF(G72="High",60,IF(G72="Medium",50,IF(G72="Low",35,0))))</f>
        <v/>
      </c>
      <c r="Q72" s="2" t="inlineStr">
        <is>
          <t>Missing Authentication, Cleartext Storage of Sensitive Info, Weak Password Hash</t>
        </is>
      </c>
      <c r="R72" s="2" t="inlineStr">
        <is>
          <t>HMT.CM2507 Firmware v251211.1507</t>
        </is>
      </c>
      <c r="S72" s="2" t="inlineStr">
        <is>
          <t>Unknown</t>
        </is>
      </c>
      <c r="T72" s="2" t="inlineStr">
        <is>
          <t>CWE-258, CWE-306, CWE-312, CWE-829, CWE-916</t>
        </is>
      </c>
      <c r="U72" s="2" t="inlineStr">
        <is>
          <t>https://www.cisa.gov/news-events/ics-advisories/icsa-26-258-08</t>
        </is>
      </c>
      <c r="V72" s="2" t="inlineStr">
        <is>
          <t>China</t>
        </is>
      </c>
      <c r="W72" s="2" t="inlineStr">
        <is>
          <t>Worldwide</t>
        </is>
      </c>
      <c r="X72" s="2" t="inlineStr"/>
      <c r="Y72" s="2" t="inlineStr">
        <is>
          <t>csv</t>
        </is>
      </c>
    </row>
    <row r="73">
      <c r="A73" s="2" t="inlineStr">
        <is>
          <t>ICSA-26-258-08</t>
        </is>
      </c>
      <c r="B73" s="2" t="inlineStr">
        <is>
          <t>CVE-2026-84398</t>
        </is>
      </c>
      <c r="C73" s="2" t="inlineStr">
        <is>
          <t>CareCam CM2507</t>
        </is>
      </c>
      <c r="D73" s="2" t="inlineStr">
        <is>
          <t>CareCam</t>
        </is>
      </c>
      <c r="E73" s="2" t="inlineStr">
        <is>
          <t>CareCam CM2507</t>
        </is>
      </c>
      <c r="F73" s="2" t="inlineStr">
        <is>
          <t>7.5</t>
        </is>
      </c>
      <c r="G73" s="2" t="inlineStr">
        <is>
          <t>high</t>
        </is>
      </c>
      <c r="H73" s="2" t="inlineStr">
        <is>
          <t>9/15/2026</t>
        </is>
      </c>
      <c r="I73" s="2" t="inlineStr">
        <is>
          <t>9/15/2026</t>
        </is>
      </c>
      <c r="J73" s="2" t="inlineStr">
        <is>
          <t>2026-09-18T16:07:53.521Z</t>
        </is>
      </c>
      <c r="K73" s="2" t="inlineStr">
        <is>
          <t>Commercial Facilities</t>
        </is>
      </c>
      <c r="L73" s="2" t="inlineStr">
        <is>
          <t>Yes</t>
        </is>
      </c>
      <c r="M73" s="2" t="inlineStr">
        <is>
          <t>Likely</t>
        </is>
      </c>
      <c r="N73" s="2" t="inlineStr">
        <is>
          <t>Y</t>
        </is>
      </c>
      <c r="O73" s="2" t="inlineStr">
        <is>
          <t>N</t>
        </is>
      </c>
      <c r="P73" s="2">
        <f>IF(O73="Y",10,0)+IF(G73="Critical",65,IF(G73="High",60,IF(G73="Medium",50,IF(G73="Low",35,0))))</f>
        <v/>
      </c>
      <c r="Q73" s="2" t="inlineStr">
        <is>
          <t>Missing Authentication, Cleartext Storage of Sensitive Info, Weak Password Hash</t>
        </is>
      </c>
      <c r="R73" s="2" t="inlineStr">
        <is>
          <t>HMT.CM2507 Firmware v251211.1507</t>
        </is>
      </c>
      <c r="S73" s="2" t="inlineStr">
        <is>
          <t>Unknown</t>
        </is>
      </c>
      <c r="T73" s="2" t="inlineStr">
        <is>
          <t>CWE-258, CWE-306, CWE-312, CWE-829, CWE-916</t>
        </is>
      </c>
      <c r="U73" s="2" t="inlineStr">
        <is>
          <t>https://www.cisa.gov/news-events/ics-advisories/icsa-26-258-08</t>
        </is>
      </c>
      <c r="V73" s="2" t="inlineStr">
        <is>
          <t>China</t>
        </is>
      </c>
      <c r="W73" s="2" t="inlineStr">
        <is>
          <t>Worldwide</t>
        </is>
      </c>
      <c r="X73" s="2" t="inlineStr"/>
      <c r="Y73" s="2" t="inlineStr">
        <is>
          <t>csv</t>
        </is>
      </c>
    </row>
    <row r="74">
      <c r="A74" s="2" t="inlineStr">
        <is>
          <t>ICSA-26-258-08</t>
        </is>
      </c>
      <c r="B74" s="2" t="inlineStr">
        <is>
          <t>CVE-2026-84400</t>
        </is>
      </c>
      <c r="C74" s="2" t="inlineStr">
        <is>
          <t>CareCam CM2507</t>
        </is>
      </c>
      <c r="D74" s="2" t="inlineStr">
        <is>
          <t>CareCam</t>
        </is>
      </c>
      <c r="E74" s="2" t="inlineStr">
        <is>
          <t>CareCam CM2507</t>
        </is>
      </c>
      <c r="F74" s="2" t="inlineStr">
        <is>
          <t>7.5</t>
        </is>
      </c>
      <c r="G74" s="2" t="inlineStr">
        <is>
          <t>high</t>
        </is>
      </c>
      <c r="H74" s="2" t="inlineStr">
        <is>
          <t>9/15/2026</t>
        </is>
      </c>
      <c r="I74" s="2" t="inlineStr">
        <is>
          <t>9/15/2026</t>
        </is>
      </c>
      <c r="J74" s="2" t="inlineStr">
        <is>
          <t>2026-09-18T16:10:28.768Z</t>
        </is>
      </c>
      <c r="K74" s="2" t="inlineStr">
        <is>
          <t>Commercial Facilities</t>
        </is>
      </c>
      <c r="L74" s="2" t="inlineStr">
        <is>
          <t>Yes</t>
        </is>
      </c>
      <c r="M74" s="2" t="inlineStr">
        <is>
          <t>Likely</t>
        </is>
      </c>
      <c r="N74" s="2" t="inlineStr">
        <is>
          <t>Y</t>
        </is>
      </c>
      <c r="O74" s="2" t="inlineStr">
        <is>
          <t>N</t>
        </is>
      </c>
      <c r="P74" s="2">
        <f>IF(O74="Y",10,0)+IF(G74="Critical",65,IF(G74="High",60,IF(G74="Medium",50,IF(G74="Low",35,0))))</f>
        <v/>
      </c>
      <c r="Q74" s="2" t="inlineStr">
        <is>
          <t>Missing Authentication, Cleartext Storage of Sensitive Info, Weak Password Hash</t>
        </is>
      </c>
      <c r="R74" s="2" t="inlineStr">
        <is>
          <t>HMT.CM2507 Firmware v251211.1507</t>
        </is>
      </c>
      <c r="S74" s="2" t="inlineStr">
        <is>
          <t>Unknown</t>
        </is>
      </c>
      <c r="T74" s="2" t="inlineStr">
        <is>
          <t>CWE-258, CWE-306, CWE-312, CWE-829, CWE-916</t>
        </is>
      </c>
      <c r="U74" s="2" t="inlineStr">
        <is>
          <t>https://www.cisa.gov/news-events/ics-advisories/icsa-26-258-08</t>
        </is>
      </c>
      <c r="V74" s="2" t="inlineStr">
        <is>
          <t>China</t>
        </is>
      </c>
      <c r="W74" s="2" t="inlineStr">
        <is>
          <t>Worldwide</t>
        </is>
      </c>
      <c r="X74" s="2" t="inlineStr"/>
      <c r="Y74" s="2" t="inlineStr">
        <is>
          <t>csv</t>
        </is>
      </c>
    </row>
    <row r="75">
      <c r="A75" s="2" t="inlineStr">
        <is>
          <t>ICSA-26-258-08</t>
        </is>
      </c>
      <c r="B75" s="2" t="inlineStr">
        <is>
          <t>CVE-2026-81305</t>
        </is>
      </c>
      <c r="C75" s="2" t="inlineStr">
        <is>
          <t>CareCam CM2507</t>
        </is>
      </c>
      <c r="D75" s="2" t="inlineStr">
        <is>
          <t>CareCam</t>
        </is>
      </c>
      <c r="E75" s="2" t="inlineStr">
        <is>
          <t>CareCam CM2507</t>
        </is>
      </c>
      <c r="F75" s="2" t="inlineStr">
        <is>
          <t>7.5</t>
        </is>
      </c>
      <c r="G75" s="2" t="inlineStr">
        <is>
          <t>high</t>
        </is>
      </c>
      <c r="H75" s="2" t="inlineStr">
        <is>
          <t>9/15/2026</t>
        </is>
      </c>
      <c r="I75" s="2" t="inlineStr">
        <is>
          <t>9/15/2026</t>
        </is>
      </c>
      <c r="J75" s="2" t="inlineStr">
        <is>
          <t>2026-09-18T16:12:32.342Z</t>
        </is>
      </c>
      <c r="K75" s="2" t="inlineStr">
        <is>
          <t>Commercial Facilities</t>
        </is>
      </c>
      <c r="L75" s="2" t="inlineStr">
        <is>
          <t>Yes</t>
        </is>
      </c>
      <c r="M75" s="2" t="inlineStr">
        <is>
          <t>Likely</t>
        </is>
      </c>
      <c r="N75" s="2" t="inlineStr">
        <is>
          <t>Y</t>
        </is>
      </c>
      <c r="O75" s="2" t="inlineStr">
        <is>
          <t>N</t>
        </is>
      </c>
      <c r="P75" s="2">
        <f>IF(O75="Y",10,0)+IF(G75="Critical",65,IF(G75="High",60,IF(G75="Medium",50,IF(G75="Low",35,0))))</f>
        <v/>
      </c>
      <c r="Q75" s="2" t="inlineStr">
        <is>
          <t>Missing Authentication, Cleartext Storage of Sensitive Info, Weak Password Hash</t>
        </is>
      </c>
      <c r="R75" s="2" t="inlineStr">
        <is>
          <t>HMT.CM2507 Firmware v251211.1507</t>
        </is>
      </c>
      <c r="S75" s="2" t="inlineStr">
        <is>
          <t>Unknown</t>
        </is>
      </c>
      <c r="T75" s="2" t="inlineStr">
        <is>
          <t>CWE-258, CWE-306, CWE-312, CWE-829, CWE-916</t>
        </is>
      </c>
      <c r="U75" s="2" t="inlineStr">
        <is>
          <t>https://www.cisa.gov/news-events/ics-advisories/icsa-26-258-08</t>
        </is>
      </c>
      <c r="V75" s="2" t="inlineStr">
        <is>
          <t>China</t>
        </is>
      </c>
      <c r="W75" s="2" t="inlineStr">
        <is>
          <t>Worldwide</t>
        </is>
      </c>
      <c r="X75" s="2" t="inlineStr"/>
      <c r="Y75" s="2" t="inlineStr">
        <is>
          <t>csv</t>
        </is>
      </c>
    </row>
    <row r="76">
      <c r="A76" s="2" t="inlineStr">
        <is>
          <t>ICSA-26-258-08</t>
        </is>
      </c>
      <c r="B76" s="2" t="inlineStr">
        <is>
          <t>CVE-2026-85478</t>
        </is>
      </c>
      <c r="C76" s="2" t="inlineStr">
        <is>
          <t>CareCam CM2507</t>
        </is>
      </c>
      <c r="D76" s="2" t="inlineStr">
        <is>
          <t>CareCam</t>
        </is>
      </c>
      <c r="E76" s="2" t="inlineStr">
        <is>
          <t>CareCam CM2507</t>
        </is>
      </c>
      <c r="F76" s="2" t="inlineStr">
        <is>
          <t>7.5</t>
        </is>
      </c>
      <c r="G76" s="2" t="inlineStr">
        <is>
          <t>high</t>
        </is>
      </c>
      <c r="H76" s="2" t="inlineStr">
        <is>
          <t>9/15/2026</t>
        </is>
      </c>
      <c r="I76" s="2" t="inlineStr">
        <is>
          <t>9/15/2026</t>
        </is>
      </c>
      <c r="J76" s="2" t="inlineStr">
        <is>
          <t>2026-09-18T16:16:20.994Z</t>
        </is>
      </c>
      <c r="K76" s="2" t="inlineStr">
        <is>
          <t>Commercial Facilities</t>
        </is>
      </c>
      <c r="L76" s="2" t="inlineStr">
        <is>
          <t>Yes</t>
        </is>
      </c>
      <c r="M76" s="2" t="inlineStr">
        <is>
          <t>Likely</t>
        </is>
      </c>
      <c r="N76" s="2" t="inlineStr">
        <is>
          <t>Y</t>
        </is>
      </c>
      <c r="O76" s="2" t="inlineStr">
        <is>
          <t>N</t>
        </is>
      </c>
      <c r="P76" s="2">
        <f>IF(O76="Y",10,0)+IF(G76="Critical",65,IF(G76="High",60,IF(G76="Medium",50,IF(G76="Low",35,0))))</f>
        <v/>
      </c>
      <c r="Q76" s="2" t="inlineStr">
        <is>
          <t>Missing Authentication, Cleartext Storage of Sensitive Info, Weak Password Hash</t>
        </is>
      </c>
      <c r="R76" s="2" t="inlineStr">
        <is>
          <t>HMT.CM2507 Firmware v251211.1507</t>
        </is>
      </c>
      <c r="S76" s="2" t="inlineStr">
        <is>
          <t>Unknown</t>
        </is>
      </c>
      <c r="T76" s="2" t="inlineStr">
        <is>
          <t>CWE-258, CWE-306, CWE-312, CWE-829, CWE-916</t>
        </is>
      </c>
      <c r="U76" s="2" t="inlineStr">
        <is>
          <t>https://www.cisa.gov/news-events/ics-advisories/icsa-26-258-08</t>
        </is>
      </c>
      <c r="V76" s="2" t="inlineStr">
        <is>
          <t>China</t>
        </is>
      </c>
      <c r="W76" s="2" t="inlineStr">
        <is>
          <t>Worldwide</t>
        </is>
      </c>
      <c r="X76" s="2" t="inlineStr"/>
      <c r="Y76" s="2" t="inlineStr">
        <is>
          <t>csv</t>
        </is>
      </c>
    </row>
    <row r="77">
      <c r="A77" s="2" t="inlineStr">
        <is>
          <t>ICSA-26-258-08</t>
        </is>
      </c>
      <c r="B77" s="2" t="inlineStr">
        <is>
          <t>CVE-2026-85497</t>
        </is>
      </c>
      <c r="C77" s="2" t="inlineStr">
        <is>
          <t>CareCam CM2507</t>
        </is>
      </c>
      <c r="D77" s="2" t="inlineStr">
        <is>
          <t>CareCam</t>
        </is>
      </c>
      <c r="E77" s="2" t="inlineStr">
        <is>
          <t>CareCam CM2507</t>
        </is>
      </c>
      <c r="F77" s="2" t="inlineStr">
        <is>
          <t>7.5</t>
        </is>
      </c>
      <c r="G77" s="2" t="inlineStr">
        <is>
          <t>high</t>
        </is>
      </c>
      <c r="H77" s="2" t="inlineStr">
        <is>
          <t>9/15/2026</t>
        </is>
      </c>
      <c r="I77" s="2" t="inlineStr">
        <is>
          <t>9/15/2026</t>
        </is>
      </c>
      <c r="J77" s="2" t="inlineStr">
        <is>
          <t>2026-09-18T16:19:23.396Z</t>
        </is>
      </c>
      <c r="K77" s="2" t="inlineStr">
        <is>
          <t>Commercial Facilities</t>
        </is>
      </c>
      <c r="L77" s="2" t="inlineStr">
        <is>
          <t>Yes</t>
        </is>
      </c>
      <c r="M77" s="2" t="inlineStr">
        <is>
          <t>Likely</t>
        </is>
      </c>
      <c r="N77" s="2" t="inlineStr">
        <is>
          <t>Y</t>
        </is>
      </c>
      <c r="O77" s="2" t="inlineStr">
        <is>
          <t>N</t>
        </is>
      </c>
      <c r="P77" s="2">
        <f>IF(O77="Y",10,0)+IF(G77="Critical",65,IF(G77="High",60,IF(G77="Medium",50,IF(G77="Low",35,0))))</f>
        <v/>
      </c>
      <c r="Q77" s="2" t="inlineStr">
        <is>
          <t>Missing Authentication, Cleartext Storage of Sensitive Info, Weak Password Hash</t>
        </is>
      </c>
      <c r="R77" s="2" t="inlineStr">
        <is>
          <t>HMT.CM2507 Firmware v251211.1507</t>
        </is>
      </c>
      <c r="S77" s="2" t="inlineStr">
        <is>
          <t>Unknown</t>
        </is>
      </c>
      <c r="T77" s="2" t="inlineStr">
        <is>
          <t>CWE-258, CWE-306, CWE-312, CWE-829, CWE-916</t>
        </is>
      </c>
      <c r="U77" s="2" t="inlineStr">
        <is>
          <t>https://www.cisa.gov/news-events/ics-advisories/icsa-26-258-08</t>
        </is>
      </c>
      <c r="V77" s="2" t="inlineStr">
        <is>
          <t>China</t>
        </is>
      </c>
      <c r="W77" s="2" t="inlineStr">
        <is>
          <t>Worldwide</t>
        </is>
      </c>
      <c r="X77" s="2" t="inlineStr"/>
      <c r="Y77" s="2" t="inlineStr">
        <is>
          <t>csv</t>
        </is>
      </c>
    </row>
    <row r="78">
      <c r="A78" s="2" t="inlineStr">
        <is>
          <t>ICSA-26-258-08</t>
        </is>
      </c>
      <c r="B78" s="2" t="inlineStr">
        <is>
          <t>CVE-2026-81321</t>
        </is>
      </c>
      <c r="C78" s="2" t="inlineStr">
        <is>
          <t>CareCam CM2507</t>
        </is>
      </c>
      <c r="D78" s="2" t="inlineStr">
        <is>
          <t>CareCam</t>
        </is>
      </c>
      <c r="E78" s="2" t="inlineStr">
        <is>
          <t>CareCam CM2507</t>
        </is>
      </c>
      <c r="F78" s="2" t="inlineStr">
        <is>
          <t>7.5</t>
        </is>
      </c>
      <c r="G78" s="2" t="inlineStr">
        <is>
          <t>high</t>
        </is>
      </c>
      <c r="H78" s="2" t="inlineStr">
        <is>
          <t>9/15/2026</t>
        </is>
      </c>
      <c r="I78" s="2" t="inlineStr">
        <is>
          <t>9/15/2026</t>
        </is>
      </c>
      <c r="J78" s="2" t="inlineStr">
        <is>
          <t>2026-09-18T16:22:32.721Z</t>
        </is>
      </c>
      <c r="K78" s="2" t="inlineStr">
        <is>
          <t>Commercial Facilities</t>
        </is>
      </c>
      <c r="L78" s="2" t="inlineStr">
        <is>
          <t>Yes</t>
        </is>
      </c>
      <c r="M78" s="2" t="inlineStr">
        <is>
          <t>Likely</t>
        </is>
      </c>
      <c r="N78" s="2" t="inlineStr">
        <is>
          <t>Y</t>
        </is>
      </c>
      <c r="O78" s="2" t="inlineStr">
        <is>
          <t>N</t>
        </is>
      </c>
      <c r="P78" s="2">
        <f>IF(O78="Y",10,0)+IF(G78="Critical",65,IF(G78="High",60,IF(G78="Medium",50,IF(G78="Low",35,0))))</f>
        <v/>
      </c>
      <c r="Q78" s="2" t="inlineStr">
        <is>
          <t>Missing Authentication, Cleartext Storage of Sensitive Info, Weak Password Hash</t>
        </is>
      </c>
      <c r="R78" s="2" t="inlineStr">
        <is>
          <t>HMT.CM2507 Firmware v251211.1507</t>
        </is>
      </c>
      <c r="S78" s="2" t="inlineStr">
        <is>
          <t>Unknown</t>
        </is>
      </c>
      <c r="T78" s="2" t="inlineStr">
        <is>
          <t>CWE-258, CWE-306, CWE-312, CWE-829, CWE-916</t>
        </is>
      </c>
      <c r="U78" s="2" t="inlineStr">
        <is>
          <t>https://www.cisa.gov/news-events/ics-advisories/icsa-26-258-08</t>
        </is>
      </c>
      <c r="V78" s="2" t="inlineStr">
        <is>
          <t>China</t>
        </is>
      </c>
      <c r="W78" s="2" t="inlineStr">
        <is>
          <t>Worldwide</t>
        </is>
      </c>
      <c r="X78" s="2" t="inlineStr"/>
      <c r="Y78" s="2" t="inlineStr">
        <is>
          <t>csv</t>
        </is>
      </c>
    </row>
    <row r="79">
      <c r="A79" s="3" t="inlineStr">
        <is>
          <t>ICSA-26-258-07</t>
        </is>
      </c>
      <c r="B79" s="3" t="inlineStr">
        <is>
          <t>CVE-2026-58113</t>
        </is>
      </c>
      <c r="C79" s="3" t="inlineStr">
        <is>
          <t>Siemens Teamcenter</t>
        </is>
      </c>
      <c r="D79" s="3" t="inlineStr">
        <is>
          <t>Siemens</t>
        </is>
      </c>
      <c r="E79" s="3" t="inlineStr">
        <is>
          <t>Siemens Teamcenter</t>
        </is>
      </c>
      <c r="F79" s="3" t="inlineStr">
        <is>
          <t>6.1</t>
        </is>
      </c>
      <c r="G79" s="3" t="inlineStr">
        <is>
          <t>medium</t>
        </is>
      </c>
      <c r="H79" s="3" t="inlineStr">
        <is>
          <t>9/15/2026</t>
        </is>
      </c>
      <c r="I79" s="3" t="inlineStr">
        <is>
          <t>9/15/2026</t>
        </is>
      </c>
      <c r="J79" s="3" t="inlineStr">
        <is>
          <t>2026-09-08T08:11:21.609Z</t>
        </is>
      </c>
      <c r="K79" s="3" t="inlineStr">
        <is>
          <t>Critical Manufacturing; Information Technology</t>
        </is>
      </c>
      <c r="L79" s="3" t="inlineStr">
        <is>
          <t>Yes</t>
        </is>
      </c>
      <c r="M79" s="3" t="inlineStr">
        <is>
          <t>Unknown</t>
        </is>
      </c>
      <c r="N79" s="3" t="inlineStr">
        <is>
          <t>Y</t>
        </is>
      </c>
      <c r="O79" s="3" t="inlineStr">
        <is>
          <t>N</t>
        </is>
      </c>
      <c r="P79" s="3">
        <f>IF(O79="Y",10,0)+IF(G79="Critical",65,IF(G79="High",60,IF(G79="Medium",50,IF(G79="Low",35,0))))</f>
        <v/>
      </c>
      <c r="Q79" s="3" t="inlineStr">
        <is>
          <t>Cross-Site Scripting</t>
        </is>
      </c>
      <c r="R79" s="3" t="inlineStr">
        <is>
          <t>Teamcenter V2412 | Teamcenter V2506 | Teamcenter V2512 | Teamcenter V2606</t>
        </is>
      </c>
      <c r="S79" s="3" t="inlineStr">
        <is>
          <t>Unknown</t>
        </is>
      </c>
      <c r="T79" s="3" t="inlineStr">
        <is>
          <t>CWE-79</t>
        </is>
      </c>
      <c r="U79" s="3" t="inlineStr">
        <is>
          <t>https://www.cisa.gov/news-events/ics-advisories/icsa-26-258-07</t>
        </is>
      </c>
      <c r="V79" s="3" t="inlineStr">
        <is>
          <t>Germany</t>
        </is>
      </c>
      <c r="W79" s="3" t="inlineStr">
        <is>
          <t>Worldwide</t>
        </is>
      </c>
      <c r="X79" s="3" t="inlineStr"/>
      <c r="Y79" s="3" t="inlineStr">
        <is>
          <t>csv</t>
        </is>
      </c>
    </row>
    <row r="80">
      <c r="A80" s="2" t="inlineStr">
        <is>
          <t>ICSA-26-258-06</t>
        </is>
      </c>
      <c r="B80" s="2" t="inlineStr">
        <is>
          <t>CVE-2026-80465</t>
        </is>
      </c>
      <c r="C80" s="2" t="inlineStr">
        <is>
          <t>Siemens Mendix SAML</t>
        </is>
      </c>
      <c r="D80" s="2" t="inlineStr">
        <is>
          <t>Siemens</t>
        </is>
      </c>
      <c r="E80" s="2" t="inlineStr">
        <is>
          <t>Siemens Mendix SAML</t>
        </is>
      </c>
      <c r="F80" s="2" t="inlineStr">
        <is>
          <t>8.7</t>
        </is>
      </c>
      <c r="G80" s="2" t="inlineStr">
        <is>
          <t>high</t>
        </is>
      </c>
      <c r="H80" s="2" t="inlineStr">
        <is>
          <t>9/15/2026</t>
        </is>
      </c>
      <c r="I80" s="2" t="inlineStr">
        <is>
          <t>9/15/2026</t>
        </is>
      </c>
      <c r="J80" s="2" t="inlineStr">
        <is>
          <t>2026-09-03T11:25:10.771Z</t>
        </is>
      </c>
      <c r="K80" s="2" t="inlineStr">
        <is>
          <t>Critical Manufacturing; Information Technology</t>
        </is>
      </c>
      <c r="L80" s="2" t="inlineStr">
        <is>
          <t>Yes</t>
        </is>
      </c>
      <c r="M80" s="2" t="inlineStr">
        <is>
          <t>Likely</t>
        </is>
      </c>
      <c r="N80" s="2" t="inlineStr">
        <is>
          <t>Y</t>
        </is>
      </c>
      <c r="O80" s="2" t="inlineStr">
        <is>
          <t>N</t>
        </is>
      </c>
      <c r="P80" s="2">
        <f>IF(O80="Y",10,0)+IF(G80="Critical",65,IF(G80="High",60,IF(G80="Medium",50,IF(G80="Low",35,0))))</f>
        <v/>
      </c>
      <c r="Q80" s="2" t="inlineStr">
        <is>
          <t>Improper Verification of Cryptographic Signature</t>
        </is>
      </c>
      <c r="R80" s="2" t="inlineStr">
        <is>
          <t>Mendix SAML (Mendix 10 compatible) | Mendix SAML (Mendix 11 compatible) | Mendix SAML (Mendix 9.24 compatible)</t>
        </is>
      </c>
      <c r="S80" s="2" t="inlineStr">
        <is>
          <t>Unknown</t>
        </is>
      </c>
      <c r="T80" s="2" t="inlineStr">
        <is>
          <t>CWE-347</t>
        </is>
      </c>
      <c r="U80" s="2" t="inlineStr">
        <is>
          <t>https://www.cisa.gov/news-events/ics-advisories/icsa-26-258-06</t>
        </is>
      </c>
      <c r="V80" s="2" t="inlineStr">
        <is>
          <t>Germany</t>
        </is>
      </c>
      <c r="W80" s="2" t="inlineStr">
        <is>
          <t>Worldwide</t>
        </is>
      </c>
      <c r="X80" s="2" t="inlineStr"/>
      <c r="Y80" s="2" t="inlineStr">
        <is>
          <t>csv</t>
        </is>
      </c>
    </row>
    <row r="81">
      <c r="A81" s="2" t="inlineStr">
        <is>
          <t>ICSA-26-258-05</t>
        </is>
      </c>
      <c r="B81" s="2" t="inlineStr">
        <is>
          <t>CVE-2024-42384</t>
        </is>
      </c>
      <c r="C81" s="2" t="inlineStr">
        <is>
          <t>Siemens Reyrolle 7SR5</t>
        </is>
      </c>
      <c r="D81" s="2" t="inlineStr">
        <is>
          <t>Siemens</t>
        </is>
      </c>
      <c r="E81" s="2" t="inlineStr">
        <is>
          <t>Siemens Reyrolle 7SR5</t>
        </is>
      </c>
      <c r="F81" s="2" t="inlineStr">
        <is>
          <t>9.8</t>
        </is>
      </c>
      <c r="G81" s="2" t="inlineStr">
        <is>
          <t>critical</t>
        </is>
      </c>
      <c r="H81" s="2" t="inlineStr">
        <is>
          <t>9/15/2026</t>
        </is>
      </c>
      <c r="I81" s="2" t="inlineStr">
        <is>
          <t>9/15/2026</t>
        </is>
      </c>
      <c r="J81" s="2" t="inlineStr">
        <is>
          <t>2024-11-18T09:04:46.754Z</t>
        </is>
      </c>
      <c r="K81" s="2" t="inlineStr">
        <is>
          <t>Energy</t>
        </is>
      </c>
      <c r="L81" s="2" t="inlineStr">
        <is>
          <t>Yes</t>
        </is>
      </c>
      <c r="M81" s="2" t="inlineStr">
        <is>
          <t>Likely</t>
        </is>
      </c>
      <c r="N81" s="2" t="inlineStr">
        <is>
          <t>Y</t>
        </is>
      </c>
      <c r="O81" s="2" t="inlineStr">
        <is>
          <t>N</t>
        </is>
      </c>
      <c r="P81" s="2">
        <f>IF(O81="Y",10,0)+IF(G81="Critical",65,IF(G81="High",60,IF(G81="Medium",50,IF(G81="Low",35,0))))</f>
        <v/>
      </c>
      <c r="Q81" s="2" t="inlineStr">
        <is>
          <t>Integer Overflow, Improper Input Validation, Missing Authentication, Resource Allocation Without Limits, Out-of-Bounds Write / RCE</t>
        </is>
      </c>
      <c r="R81" s="2" t="inlineStr">
        <is>
          <t>Reyrolle 7SR5</t>
        </is>
      </c>
      <c r="S81" s="2" t="inlineStr">
        <is>
          <t>Unknown</t>
        </is>
      </c>
      <c r="T81" s="2" t="inlineStr">
        <is>
          <t>CWE-140, CWE-190, CWE-20, CWE-215, CWE-288, CWE-306, CWE-331, CWE-494, CWE-770, CWE-787, CWE-823</t>
        </is>
      </c>
      <c r="U81" s="2" t="inlineStr">
        <is>
          <t>https://www.cisa.gov/news-events/ics-advisories/icsa-26-258-05</t>
        </is>
      </c>
      <c r="V81" s="2" t="inlineStr">
        <is>
          <t>Germany</t>
        </is>
      </c>
      <c r="W81" s="2" t="inlineStr">
        <is>
          <t>Worldwide</t>
        </is>
      </c>
      <c r="X81" s="2" t="inlineStr"/>
      <c r="Y81" s="2" t="inlineStr">
        <is>
          <t>csv</t>
        </is>
      </c>
    </row>
    <row r="82">
      <c r="A82" s="2" t="inlineStr">
        <is>
          <t>ICSA-26-258-05</t>
        </is>
      </c>
      <c r="B82" s="2" t="inlineStr">
        <is>
          <t>CVE-2024-42385</t>
        </is>
      </c>
      <c r="C82" s="2" t="inlineStr">
        <is>
          <t>Siemens Reyrolle 7SR5</t>
        </is>
      </c>
      <c r="D82" s="2" t="inlineStr">
        <is>
          <t>Siemens</t>
        </is>
      </c>
      <c r="E82" s="2" t="inlineStr">
        <is>
          <t>Siemens Reyrolle 7SR5</t>
        </is>
      </c>
      <c r="F82" s="2" t="inlineStr">
        <is>
          <t>9.8</t>
        </is>
      </c>
      <c r="G82" s="2" t="inlineStr">
        <is>
          <t>critical</t>
        </is>
      </c>
      <c r="H82" s="2" t="inlineStr">
        <is>
          <t>9/15/2026</t>
        </is>
      </c>
      <c r="I82" s="2" t="inlineStr">
        <is>
          <t>9/15/2026</t>
        </is>
      </c>
      <c r="J82" s="2" t="inlineStr">
        <is>
          <t>2024-11-18T09:05:03.540Z</t>
        </is>
      </c>
      <c r="K82" s="2" t="inlineStr">
        <is>
          <t>Energy</t>
        </is>
      </c>
      <c r="L82" s="2" t="inlineStr">
        <is>
          <t>Yes</t>
        </is>
      </c>
      <c r="M82" s="2" t="inlineStr">
        <is>
          <t>Likely</t>
        </is>
      </c>
      <c r="N82" s="2" t="inlineStr">
        <is>
          <t>Y</t>
        </is>
      </c>
      <c r="O82" s="2" t="inlineStr">
        <is>
          <t>N</t>
        </is>
      </c>
      <c r="P82" s="2">
        <f>IF(O82="Y",10,0)+IF(G82="Critical",65,IF(G82="High",60,IF(G82="Medium",50,IF(G82="Low",35,0))))</f>
        <v/>
      </c>
      <c r="Q82" s="2" t="inlineStr">
        <is>
          <t>Integer Overflow, Improper Input Validation, Missing Authentication, Resource Allocation Without Limits, Out-of-Bounds Write / RCE</t>
        </is>
      </c>
      <c r="R82" s="2" t="inlineStr">
        <is>
          <t>Reyrolle 7SR5</t>
        </is>
      </c>
      <c r="S82" s="2" t="inlineStr">
        <is>
          <t>Unknown</t>
        </is>
      </c>
      <c r="T82" s="2" t="inlineStr">
        <is>
          <t>CWE-140, CWE-190, CWE-20, CWE-215, CWE-288, CWE-306, CWE-331, CWE-494, CWE-770, CWE-787, CWE-823</t>
        </is>
      </c>
      <c r="U82" s="2" t="inlineStr">
        <is>
          <t>https://www.cisa.gov/news-events/ics-advisories/icsa-26-258-05</t>
        </is>
      </c>
      <c r="V82" s="2" t="inlineStr">
        <is>
          <t>Germany</t>
        </is>
      </c>
      <c r="W82" s="2" t="inlineStr">
        <is>
          <t>Worldwide</t>
        </is>
      </c>
      <c r="X82" s="2" t="inlineStr"/>
      <c r="Y82" s="2" t="inlineStr">
        <is>
          <t>csv</t>
        </is>
      </c>
    </row>
    <row r="83">
      <c r="A83" s="2" t="inlineStr">
        <is>
          <t>ICSA-26-258-05</t>
        </is>
      </c>
      <c r="B83" s="2" t="inlineStr">
        <is>
          <t>CVE-2024-42386</t>
        </is>
      </c>
      <c r="C83" s="2" t="inlineStr">
        <is>
          <t>Siemens Reyrolle 7SR5</t>
        </is>
      </c>
      <c r="D83" s="2" t="inlineStr">
        <is>
          <t>Siemens</t>
        </is>
      </c>
      <c r="E83" s="2" t="inlineStr">
        <is>
          <t>Siemens Reyrolle 7SR5</t>
        </is>
      </c>
      <c r="F83" s="2" t="inlineStr">
        <is>
          <t>9.8</t>
        </is>
      </c>
      <c r="G83" s="2" t="inlineStr">
        <is>
          <t>critical</t>
        </is>
      </c>
      <c r="H83" s="2" t="inlineStr">
        <is>
          <t>9/15/2026</t>
        </is>
      </c>
      <c r="I83" s="2" t="inlineStr">
        <is>
          <t>9/15/2026</t>
        </is>
      </c>
      <c r="J83" s="2" t="inlineStr">
        <is>
          <t>2024-11-18T09:05:27.340Z</t>
        </is>
      </c>
      <c r="K83" s="2" t="inlineStr">
        <is>
          <t>Energy</t>
        </is>
      </c>
      <c r="L83" s="2" t="inlineStr">
        <is>
          <t>Yes</t>
        </is>
      </c>
      <c r="M83" s="2" t="inlineStr">
        <is>
          <t>Likely</t>
        </is>
      </c>
      <c r="N83" s="2" t="inlineStr">
        <is>
          <t>Y</t>
        </is>
      </c>
      <c r="O83" s="2" t="inlineStr">
        <is>
          <t>N</t>
        </is>
      </c>
      <c r="P83" s="2">
        <f>IF(O83="Y",10,0)+IF(G83="Critical",65,IF(G83="High",60,IF(G83="Medium",50,IF(G83="Low",35,0))))</f>
        <v/>
      </c>
      <c r="Q83" s="2" t="inlineStr">
        <is>
          <t>Integer Overflow, Improper Input Validation, Missing Authentication, Resource Allocation Without Limits, Out-of-Bounds Write / RCE</t>
        </is>
      </c>
      <c r="R83" s="2" t="inlineStr">
        <is>
          <t>Reyrolle 7SR5</t>
        </is>
      </c>
      <c r="S83" s="2" t="inlineStr">
        <is>
          <t>Unknown</t>
        </is>
      </c>
      <c r="T83" s="2" t="inlineStr">
        <is>
          <t>CWE-140, CWE-190, CWE-20, CWE-215, CWE-288, CWE-306, CWE-331, CWE-494, CWE-770, CWE-787, CWE-823</t>
        </is>
      </c>
      <c r="U83" s="2" t="inlineStr">
        <is>
          <t>https://www.cisa.gov/news-events/ics-advisories/icsa-26-258-05</t>
        </is>
      </c>
      <c r="V83" s="2" t="inlineStr">
        <is>
          <t>Germany</t>
        </is>
      </c>
      <c r="W83" s="2" t="inlineStr">
        <is>
          <t>Worldwide</t>
        </is>
      </c>
      <c r="X83" s="2" t="inlineStr"/>
      <c r="Y83" s="2" t="inlineStr">
        <is>
          <t>csv</t>
        </is>
      </c>
    </row>
    <row r="84">
      <c r="A84" s="2" t="inlineStr">
        <is>
          <t>ICSA-26-258-05</t>
        </is>
      </c>
      <c r="B84" s="2" t="inlineStr">
        <is>
          <t>CVE-2024-42391</t>
        </is>
      </c>
      <c r="C84" s="2" t="inlineStr">
        <is>
          <t>Siemens Reyrolle 7SR5</t>
        </is>
      </c>
      <c r="D84" s="2" t="inlineStr">
        <is>
          <t>Siemens</t>
        </is>
      </c>
      <c r="E84" s="2" t="inlineStr">
        <is>
          <t>Siemens Reyrolle 7SR5</t>
        </is>
      </c>
      <c r="F84" s="2" t="inlineStr">
        <is>
          <t>9.8</t>
        </is>
      </c>
      <c r="G84" s="2" t="inlineStr">
        <is>
          <t>critical</t>
        </is>
      </c>
      <c r="H84" s="2" t="inlineStr">
        <is>
          <t>9/15/2026</t>
        </is>
      </c>
      <c r="I84" s="2" t="inlineStr">
        <is>
          <t>9/15/2026</t>
        </is>
      </c>
      <c r="J84" s="2" t="inlineStr">
        <is>
          <t>2024-11-18T09:07:03.674Z</t>
        </is>
      </c>
      <c r="K84" s="2" t="inlineStr">
        <is>
          <t>Energy</t>
        </is>
      </c>
      <c r="L84" s="2" t="inlineStr">
        <is>
          <t>Yes</t>
        </is>
      </c>
      <c r="M84" s="2" t="inlineStr">
        <is>
          <t>Likely</t>
        </is>
      </c>
      <c r="N84" s="2" t="inlineStr">
        <is>
          <t>Y</t>
        </is>
      </c>
      <c r="O84" s="2" t="inlineStr">
        <is>
          <t>N</t>
        </is>
      </c>
      <c r="P84" s="2">
        <f>IF(O84="Y",10,0)+IF(G84="Critical",65,IF(G84="High",60,IF(G84="Medium",50,IF(G84="Low",35,0))))</f>
        <v/>
      </c>
      <c r="Q84" s="2" t="inlineStr">
        <is>
          <t>Integer Overflow, Improper Input Validation, Missing Authentication, Resource Allocation Without Limits, Out-of-Bounds Write / RCE</t>
        </is>
      </c>
      <c r="R84" s="2" t="inlineStr">
        <is>
          <t>Reyrolle 7SR5</t>
        </is>
      </c>
      <c r="S84" s="2" t="inlineStr">
        <is>
          <t>Unknown</t>
        </is>
      </c>
      <c r="T84" s="2" t="inlineStr">
        <is>
          <t>CWE-140, CWE-190, CWE-20, CWE-215, CWE-288, CWE-306, CWE-331, CWE-494, CWE-770, CWE-787, CWE-823</t>
        </is>
      </c>
      <c r="U84" s="2" t="inlineStr">
        <is>
          <t>https://www.cisa.gov/news-events/ics-advisories/icsa-26-258-05</t>
        </is>
      </c>
      <c r="V84" s="2" t="inlineStr">
        <is>
          <t>Germany</t>
        </is>
      </c>
      <c r="W84" s="2" t="inlineStr">
        <is>
          <t>Worldwide</t>
        </is>
      </c>
      <c r="X84" s="2" t="inlineStr"/>
      <c r="Y84" s="2" t="inlineStr">
        <is>
          <t>csv</t>
        </is>
      </c>
    </row>
    <row r="85">
      <c r="A85" s="2" t="inlineStr">
        <is>
          <t>ICSA-26-258-05</t>
        </is>
      </c>
      <c r="B85" s="2" t="inlineStr">
        <is>
          <t>CVE-2024-42392</t>
        </is>
      </c>
      <c r="C85" s="2" t="inlineStr">
        <is>
          <t>Siemens Reyrolle 7SR5</t>
        </is>
      </c>
      <c r="D85" s="2" t="inlineStr">
        <is>
          <t>Siemens</t>
        </is>
      </c>
      <c r="E85" s="2" t="inlineStr">
        <is>
          <t>Siemens Reyrolle 7SR5</t>
        </is>
      </c>
      <c r="F85" s="2" t="inlineStr">
        <is>
          <t>9.8</t>
        </is>
      </c>
      <c r="G85" s="2" t="inlineStr">
        <is>
          <t>critical</t>
        </is>
      </c>
      <c r="H85" s="2" t="inlineStr">
        <is>
          <t>9/15/2026</t>
        </is>
      </c>
      <c r="I85" s="2" t="inlineStr">
        <is>
          <t>9/15/2026</t>
        </is>
      </c>
      <c r="J85" s="2" t="inlineStr">
        <is>
          <t>2024-11-18T09:07:09.562Z</t>
        </is>
      </c>
      <c r="K85" s="2" t="inlineStr">
        <is>
          <t>Energy</t>
        </is>
      </c>
      <c r="L85" s="2" t="inlineStr">
        <is>
          <t>Yes</t>
        </is>
      </c>
      <c r="M85" s="2" t="inlineStr">
        <is>
          <t>Likely</t>
        </is>
      </c>
      <c r="N85" s="2" t="inlineStr">
        <is>
          <t>Y</t>
        </is>
      </c>
      <c r="O85" s="2" t="inlineStr">
        <is>
          <t>N</t>
        </is>
      </c>
      <c r="P85" s="2">
        <f>IF(O85="Y",10,0)+IF(G85="Critical",65,IF(G85="High",60,IF(G85="Medium",50,IF(G85="Low",35,0))))</f>
        <v/>
      </c>
      <c r="Q85" s="2" t="inlineStr">
        <is>
          <t>Integer Overflow, Improper Input Validation, Missing Authentication, Resource Allocation Without Limits, Out-of-Bounds Write / RCE</t>
        </is>
      </c>
      <c r="R85" s="2" t="inlineStr">
        <is>
          <t>Reyrolle 7SR5</t>
        </is>
      </c>
      <c r="S85" s="2" t="inlineStr">
        <is>
          <t>Unknown</t>
        </is>
      </c>
      <c r="T85" s="2" t="inlineStr">
        <is>
          <t>CWE-140, CWE-190, CWE-20, CWE-215, CWE-288, CWE-306, CWE-331, CWE-494, CWE-770, CWE-787, CWE-823</t>
        </is>
      </c>
      <c r="U85" s="2" t="inlineStr">
        <is>
          <t>https://www.cisa.gov/news-events/ics-advisories/icsa-26-258-05</t>
        </is>
      </c>
      <c r="V85" s="2" t="inlineStr">
        <is>
          <t>Germany</t>
        </is>
      </c>
      <c r="W85" s="2" t="inlineStr">
        <is>
          <t>Worldwide</t>
        </is>
      </c>
      <c r="X85" s="2" t="inlineStr"/>
      <c r="Y85" s="2" t="inlineStr">
        <is>
          <t>csv</t>
        </is>
      </c>
    </row>
    <row r="86">
      <c r="A86" s="2" t="inlineStr">
        <is>
          <t>ICSA-26-258-05</t>
        </is>
      </c>
      <c r="B86" s="2" t="inlineStr">
        <is>
          <t>CVE-2026-62645</t>
        </is>
      </c>
      <c r="C86" s="2" t="inlineStr">
        <is>
          <t>Siemens Reyrolle 7SR5</t>
        </is>
      </c>
      <c r="D86" s="2" t="inlineStr">
        <is>
          <t>Siemens</t>
        </is>
      </c>
      <c r="E86" s="2" t="inlineStr">
        <is>
          <t>Siemens Reyrolle 7SR5</t>
        </is>
      </c>
      <c r="F86" s="2" t="inlineStr">
        <is>
          <t>9.8</t>
        </is>
      </c>
      <c r="G86" s="2" t="inlineStr">
        <is>
          <t>critical</t>
        </is>
      </c>
      <c r="H86" s="2" t="inlineStr">
        <is>
          <t>9/15/2026</t>
        </is>
      </c>
      <c r="I86" s="2" t="inlineStr">
        <is>
          <t>9/15/2026</t>
        </is>
      </c>
      <c r="J86" s="2" t="inlineStr">
        <is>
          <t>2026-09-08T08:11:22.667Z</t>
        </is>
      </c>
      <c r="K86" s="2" t="inlineStr">
        <is>
          <t>Energy</t>
        </is>
      </c>
      <c r="L86" s="2" t="inlineStr">
        <is>
          <t>Yes</t>
        </is>
      </c>
      <c r="M86" s="2" t="inlineStr">
        <is>
          <t>Likely</t>
        </is>
      </c>
      <c r="N86" s="2" t="inlineStr">
        <is>
          <t>Y</t>
        </is>
      </c>
      <c r="O86" s="2" t="inlineStr">
        <is>
          <t>N</t>
        </is>
      </c>
      <c r="P86" s="2">
        <f>IF(O86="Y",10,0)+IF(G86="Critical",65,IF(G86="High",60,IF(G86="Medium",50,IF(G86="Low",35,0))))</f>
        <v/>
      </c>
      <c r="Q86" s="2" t="inlineStr">
        <is>
          <t>Integer Overflow, Improper Input Validation, Missing Authentication, Resource Allocation Without Limits, Out-of-Bounds Write / RCE</t>
        </is>
      </c>
      <c r="R86" s="2" t="inlineStr">
        <is>
          <t>Reyrolle 7SR5</t>
        </is>
      </c>
      <c r="S86" s="2" t="inlineStr">
        <is>
          <t>Unknown</t>
        </is>
      </c>
      <c r="T86" s="2" t="inlineStr">
        <is>
          <t>CWE-140, CWE-190, CWE-20, CWE-215, CWE-288, CWE-306, CWE-331, CWE-494, CWE-770, CWE-787, CWE-823</t>
        </is>
      </c>
      <c r="U86" s="2" t="inlineStr">
        <is>
          <t>https://www.cisa.gov/news-events/ics-advisories/icsa-26-258-05</t>
        </is>
      </c>
      <c r="V86" s="2" t="inlineStr">
        <is>
          <t>Germany</t>
        </is>
      </c>
      <c r="W86" s="2" t="inlineStr">
        <is>
          <t>Worldwide</t>
        </is>
      </c>
      <c r="X86" s="2" t="inlineStr"/>
      <c r="Y86" s="2" t="inlineStr">
        <is>
          <t>csv</t>
        </is>
      </c>
    </row>
    <row r="87">
      <c r="A87" s="2" t="inlineStr">
        <is>
          <t>ICSA-26-258-05</t>
        </is>
      </c>
      <c r="B87" s="2" t="inlineStr">
        <is>
          <t>CVE-2026-62646</t>
        </is>
      </c>
      <c r="C87" s="2" t="inlineStr">
        <is>
          <t>Siemens Reyrolle 7SR5</t>
        </is>
      </c>
      <c r="D87" s="2" t="inlineStr">
        <is>
          <t>Siemens</t>
        </is>
      </c>
      <c r="E87" s="2" t="inlineStr">
        <is>
          <t>Siemens Reyrolle 7SR5</t>
        </is>
      </c>
      <c r="F87" s="2" t="inlineStr">
        <is>
          <t>9.8</t>
        </is>
      </c>
      <c r="G87" s="2" t="inlineStr">
        <is>
          <t>critical</t>
        </is>
      </c>
      <c r="H87" s="2" t="inlineStr">
        <is>
          <t>9/15/2026</t>
        </is>
      </c>
      <c r="I87" s="2" t="inlineStr">
        <is>
          <t>9/15/2026</t>
        </is>
      </c>
      <c r="J87" s="2" t="inlineStr">
        <is>
          <t>2026-09-08T08:11:23.739Z</t>
        </is>
      </c>
      <c r="K87" s="2" t="inlineStr">
        <is>
          <t>Energy</t>
        </is>
      </c>
      <c r="L87" s="2" t="inlineStr">
        <is>
          <t>Yes</t>
        </is>
      </c>
      <c r="M87" s="2" t="inlineStr">
        <is>
          <t>Likely</t>
        </is>
      </c>
      <c r="N87" s="2" t="inlineStr">
        <is>
          <t>Y</t>
        </is>
      </c>
      <c r="O87" s="2" t="inlineStr">
        <is>
          <t>N</t>
        </is>
      </c>
      <c r="P87" s="2">
        <f>IF(O87="Y",10,0)+IF(G87="Critical",65,IF(G87="High",60,IF(G87="Medium",50,IF(G87="Low",35,0))))</f>
        <v/>
      </c>
      <c r="Q87" s="2" t="inlineStr">
        <is>
          <t>Integer Overflow, Improper Input Validation, Missing Authentication, Resource Allocation Without Limits, Out-of-Bounds Write / RCE</t>
        </is>
      </c>
      <c r="R87" s="2" t="inlineStr">
        <is>
          <t>Reyrolle 7SR5</t>
        </is>
      </c>
      <c r="S87" s="2" t="inlineStr">
        <is>
          <t>Unknown</t>
        </is>
      </c>
      <c r="T87" s="2" t="inlineStr">
        <is>
          <t>CWE-140, CWE-190, CWE-20, CWE-215, CWE-288, CWE-306, CWE-331, CWE-494, CWE-770, CWE-787, CWE-823</t>
        </is>
      </c>
      <c r="U87" s="2" t="inlineStr">
        <is>
          <t>https://www.cisa.gov/news-events/ics-advisories/icsa-26-258-05</t>
        </is>
      </c>
      <c r="V87" s="2" t="inlineStr">
        <is>
          <t>Germany</t>
        </is>
      </c>
      <c r="W87" s="2" t="inlineStr">
        <is>
          <t>Worldwide</t>
        </is>
      </c>
      <c r="X87" s="2" t="inlineStr"/>
      <c r="Y87" s="2" t="inlineStr">
        <is>
          <t>csv</t>
        </is>
      </c>
    </row>
    <row r="88">
      <c r="A88" s="2" t="inlineStr">
        <is>
          <t>ICSA-26-258-05</t>
        </is>
      </c>
      <c r="B88" s="2" t="inlineStr">
        <is>
          <t>CVE-2026-62647</t>
        </is>
      </c>
      <c r="C88" s="2" t="inlineStr">
        <is>
          <t>Siemens Reyrolle 7SR5</t>
        </is>
      </c>
      <c r="D88" s="2" t="inlineStr">
        <is>
          <t>Siemens</t>
        </is>
      </c>
      <c r="E88" s="2" t="inlineStr">
        <is>
          <t>Siemens Reyrolle 7SR5</t>
        </is>
      </c>
      <c r="F88" s="2" t="inlineStr">
        <is>
          <t>9.8</t>
        </is>
      </c>
      <c r="G88" s="2" t="inlineStr">
        <is>
          <t>critical</t>
        </is>
      </c>
      <c r="H88" s="2" t="inlineStr">
        <is>
          <t>9/15/2026</t>
        </is>
      </c>
      <c r="I88" s="2" t="inlineStr">
        <is>
          <t>9/15/2026</t>
        </is>
      </c>
      <c r="J88" s="2" t="inlineStr">
        <is>
          <t>2026-09-08T08:11:24.801Z</t>
        </is>
      </c>
      <c r="K88" s="2" t="inlineStr">
        <is>
          <t>Energy</t>
        </is>
      </c>
      <c r="L88" s="2" t="inlineStr">
        <is>
          <t>Yes</t>
        </is>
      </c>
      <c r="M88" s="2" t="inlineStr">
        <is>
          <t>Likely</t>
        </is>
      </c>
      <c r="N88" s="2" t="inlineStr">
        <is>
          <t>Y</t>
        </is>
      </c>
      <c r="O88" s="2" t="inlineStr">
        <is>
          <t>N</t>
        </is>
      </c>
      <c r="P88" s="2">
        <f>IF(O88="Y",10,0)+IF(G88="Critical",65,IF(G88="High",60,IF(G88="Medium",50,IF(G88="Low",35,0))))</f>
        <v/>
      </c>
      <c r="Q88" s="2" t="inlineStr">
        <is>
          <t>Integer Overflow, Improper Input Validation, Missing Authentication, Resource Allocation Without Limits, Out-of-Bounds Write / RCE</t>
        </is>
      </c>
      <c r="R88" s="2" t="inlineStr">
        <is>
          <t>Reyrolle 7SR5</t>
        </is>
      </c>
      <c r="S88" s="2" t="inlineStr">
        <is>
          <t>Unknown</t>
        </is>
      </c>
      <c r="T88" s="2" t="inlineStr">
        <is>
          <t>CWE-140, CWE-190, CWE-20, CWE-215, CWE-288, CWE-306, CWE-331, CWE-494, CWE-770, CWE-787, CWE-823</t>
        </is>
      </c>
      <c r="U88" s="2" t="inlineStr">
        <is>
          <t>https://www.cisa.gov/news-events/ics-advisories/icsa-26-258-05</t>
        </is>
      </c>
      <c r="V88" s="2" t="inlineStr">
        <is>
          <t>Germany</t>
        </is>
      </c>
      <c r="W88" s="2" t="inlineStr">
        <is>
          <t>Worldwide</t>
        </is>
      </c>
      <c r="X88" s="2" t="inlineStr"/>
      <c r="Y88" s="2" t="inlineStr">
        <is>
          <t>csv</t>
        </is>
      </c>
    </row>
    <row r="89">
      <c r="A89" s="2" t="inlineStr">
        <is>
          <t>ICSA-26-258-05</t>
        </is>
      </c>
      <c r="B89" s="2" t="inlineStr">
        <is>
          <t>CVE-2026-62648</t>
        </is>
      </c>
      <c r="C89" s="2" t="inlineStr">
        <is>
          <t>Siemens Reyrolle 7SR5</t>
        </is>
      </c>
      <c r="D89" s="2" t="inlineStr">
        <is>
          <t>Siemens</t>
        </is>
      </c>
      <c r="E89" s="2" t="inlineStr">
        <is>
          <t>Siemens Reyrolle 7SR5</t>
        </is>
      </c>
      <c r="F89" s="2" t="inlineStr">
        <is>
          <t>9.8</t>
        </is>
      </c>
      <c r="G89" s="2" t="inlineStr">
        <is>
          <t>critical</t>
        </is>
      </c>
      <c r="H89" s="2" t="inlineStr">
        <is>
          <t>9/15/2026</t>
        </is>
      </c>
      <c r="I89" s="2" t="inlineStr">
        <is>
          <t>9/15/2026</t>
        </is>
      </c>
      <c r="J89" s="2" t="inlineStr">
        <is>
          <t>2026-09-08T08:11:29.868Z</t>
        </is>
      </c>
      <c r="K89" s="2" t="inlineStr">
        <is>
          <t>Energy</t>
        </is>
      </c>
      <c r="L89" s="2" t="inlineStr">
        <is>
          <t>Yes</t>
        </is>
      </c>
      <c r="M89" s="2" t="inlineStr">
        <is>
          <t>Likely</t>
        </is>
      </c>
      <c r="N89" s="2" t="inlineStr">
        <is>
          <t>Y</t>
        </is>
      </c>
      <c r="O89" s="2" t="inlineStr">
        <is>
          <t>N</t>
        </is>
      </c>
      <c r="P89" s="2">
        <f>IF(O89="Y",10,0)+IF(G89="Critical",65,IF(G89="High",60,IF(G89="Medium",50,IF(G89="Low",35,0))))</f>
        <v/>
      </c>
      <c r="Q89" s="2" t="inlineStr">
        <is>
          <t>Integer Overflow, Improper Input Validation, Missing Authentication, Resource Allocation Without Limits, Out-of-Bounds Write / RCE</t>
        </is>
      </c>
      <c r="R89" s="2" t="inlineStr">
        <is>
          <t>Reyrolle 7SR5</t>
        </is>
      </c>
      <c r="S89" s="2" t="inlineStr">
        <is>
          <t>Unknown</t>
        </is>
      </c>
      <c r="T89" s="2" t="inlineStr">
        <is>
          <t>CWE-140, CWE-190, CWE-20, CWE-215, CWE-288, CWE-306, CWE-331, CWE-494, CWE-770, CWE-787, CWE-823</t>
        </is>
      </c>
      <c r="U89" s="2" t="inlineStr">
        <is>
          <t>https://www.cisa.gov/news-events/ics-advisories/icsa-26-258-05</t>
        </is>
      </c>
      <c r="V89" s="2" t="inlineStr">
        <is>
          <t>Germany</t>
        </is>
      </c>
      <c r="W89" s="2" t="inlineStr">
        <is>
          <t>Worldwide</t>
        </is>
      </c>
      <c r="X89" s="2" t="inlineStr"/>
      <c r="Y89" s="2" t="inlineStr">
        <is>
          <t>csv</t>
        </is>
      </c>
    </row>
    <row r="90">
      <c r="A90" s="2" t="inlineStr">
        <is>
          <t>ICSA-26-258-05</t>
        </is>
      </c>
      <c r="B90" s="2" t="inlineStr">
        <is>
          <t>CVE-2026-62649</t>
        </is>
      </c>
      <c r="C90" s="2" t="inlineStr">
        <is>
          <t>Siemens Reyrolle 7SR5</t>
        </is>
      </c>
      <c r="D90" s="2" t="inlineStr">
        <is>
          <t>Siemens</t>
        </is>
      </c>
      <c r="E90" s="2" t="inlineStr">
        <is>
          <t>Siemens Reyrolle 7SR5</t>
        </is>
      </c>
      <c r="F90" s="2" t="inlineStr">
        <is>
          <t>9.8</t>
        </is>
      </c>
      <c r="G90" s="2" t="inlineStr">
        <is>
          <t>critical</t>
        </is>
      </c>
      <c r="H90" s="2" t="inlineStr">
        <is>
          <t>9/15/2026</t>
        </is>
      </c>
      <c r="I90" s="2" t="inlineStr">
        <is>
          <t>9/15/2026</t>
        </is>
      </c>
      <c r="J90" s="2" t="inlineStr">
        <is>
          <t>2026-09-08T08:11:30.935Z</t>
        </is>
      </c>
      <c r="K90" s="2" t="inlineStr">
        <is>
          <t>Energy</t>
        </is>
      </c>
      <c r="L90" s="2" t="inlineStr">
        <is>
          <t>Yes</t>
        </is>
      </c>
      <c r="M90" s="2" t="inlineStr">
        <is>
          <t>Likely</t>
        </is>
      </c>
      <c r="N90" s="2" t="inlineStr">
        <is>
          <t>Y</t>
        </is>
      </c>
      <c r="O90" s="2" t="inlineStr">
        <is>
          <t>N</t>
        </is>
      </c>
      <c r="P90" s="2">
        <f>IF(O90="Y",10,0)+IF(G90="Critical",65,IF(G90="High",60,IF(G90="Medium",50,IF(G90="Low",35,0))))</f>
        <v/>
      </c>
      <c r="Q90" s="2" t="inlineStr">
        <is>
          <t>Integer Overflow, Improper Input Validation, Missing Authentication, Resource Allocation Without Limits, Out-of-Bounds Write / RCE</t>
        </is>
      </c>
      <c r="R90" s="2" t="inlineStr">
        <is>
          <t>Reyrolle 7SR5</t>
        </is>
      </c>
      <c r="S90" s="2" t="inlineStr">
        <is>
          <t>Unknown</t>
        </is>
      </c>
      <c r="T90" s="2" t="inlineStr">
        <is>
          <t>CWE-140, CWE-190, CWE-20, CWE-215, CWE-288, CWE-306, CWE-331, CWE-494, CWE-770, CWE-787, CWE-823</t>
        </is>
      </c>
      <c r="U90" s="2" t="inlineStr">
        <is>
          <t>https://www.cisa.gov/news-events/ics-advisories/icsa-26-258-05</t>
        </is>
      </c>
      <c r="V90" s="2" t="inlineStr">
        <is>
          <t>Germany</t>
        </is>
      </c>
      <c r="W90" s="2" t="inlineStr">
        <is>
          <t>Worldwide</t>
        </is>
      </c>
      <c r="X90" s="2" t="inlineStr"/>
      <c r="Y90" s="2" t="inlineStr">
        <is>
          <t>csv</t>
        </is>
      </c>
    </row>
    <row r="91">
      <c r="A91" s="2" t="inlineStr">
        <is>
          <t>ICSA-26-258-05</t>
        </is>
      </c>
      <c r="B91" s="2" t="inlineStr">
        <is>
          <t>CVE-2026-62650</t>
        </is>
      </c>
      <c r="C91" s="2" t="inlineStr">
        <is>
          <t>Siemens Reyrolle 7SR5</t>
        </is>
      </c>
      <c r="D91" s="2" t="inlineStr">
        <is>
          <t>Siemens</t>
        </is>
      </c>
      <c r="E91" s="2" t="inlineStr">
        <is>
          <t>Siemens Reyrolle 7SR5</t>
        </is>
      </c>
      <c r="F91" s="2" t="inlineStr">
        <is>
          <t>9.8</t>
        </is>
      </c>
      <c r="G91" s="2" t="inlineStr">
        <is>
          <t>critical</t>
        </is>
      </c>
      <c r="H91" s="2" t="inlineStr">
        <is>
          <t>9/15/2026</t>
        </is>
      </c>
      <c r="I91" s="2" t="inlineStr">
        <is>
          <t>9/15/2026</t>
        </is>
      </c>
      <c r="J91" s="2" t="inlineStr">
        <is>
          <t>2026-09-08T08:11:32.013Z</t>
        </is>
      </c>
      <c r="K91" s="2" t="inlineStr">
        <is>
          <t>Energy</t>
        </is>
      </c>
      <c r="L91" s="2" t="inlineStr">
        <is>
          <t>Yes</t>
        </is>
      </c>
      <c r="M91" s="2" t="inlineStr">
        <is>
          <t>Likely</t>
        </is>
      </c>
      <c r="N91" s="2" t="inlineStr">
        <is>
          <t>Y</t>
        </is>
      </c>
      <c r="O91" s="2" t="inlineStr">
        <is>
          <t>N</t>
        </is>
      </c>
      <c r="P91" s="2">
        <f>IF(O91="Y",10,0)+IF(G91="Critical",65,IF(G91="High",60,IF(G91="Medium",50,IF(G91="Low",35,0))))</f>
        <v/>
      </c>
      <c r="Q91" s="2" t="inlineStr">
        <is>
          <t>Integer Overflow, Improper Input Validation, Missing Authentication, Resource Allocation Without Limits, Out-of-Bounds Write / RCE</t>
        </is>
      </c>
      <c r="R91" s="2" t="inlineStr">
        <is>
          <t>Reyrolle 7SR5</t>
        </is>
      </c>
      <c r="S91" s="2" t="inlineStr">
        <is>
          <t>Unknown</t>
        </is>
      </c>
      <c r="T91" s="2" t="inlineStr">
        <is>
          <t>CWE-140, CWE-190, CWE-20, CWE-215, CWE-288, CWE-306, CWE-331, CWE-494, CWE-770, CWE-787, CWE-823</t>
        </is>
      </c>
      <c r="U91" s="2" t="inlineStr">
        <is>
          <t>https://www.cisa.gov/news-events/ics-advisories/icsa-26-258-05</t>
        </is>
      </c>
      <c r="V91" s="2" t="inlineStr">
        <is>
          <t>Germany</t>
        </is>
      </c>
      <c r="W91" s="2" t="inlineStr">
        <is>
          <t>Worldwide</t>
        </is>
      </c>
      <c r="X91" s="2" t="inlineStr"/>
      <c r="Y91" s="2" t="inlineStr">
        <is>
          <t>csv</t>
        </is>
      </c>
    </row>
    <row r="92">
      <c r="A92" s="2" t="inlineStr">
        <is>
          <t>ICSA-26-258-05</t>
        </is>
      </c>
      <c r="B92" s="2" t="inlineStr">
        <is>
          <t>CVE-2026-62652</t>
        </is>
      </c>
      <c r="C92" s="2" t="inlineStr">
        <is>
          <t>Siemens Reyrolle 7SR5</t>
        </is>
      </c>
      <c r="D92" s="2" t="inlineStr">
        <is>
          <t>Siemens</t>
        </is>
      </c>
      <c r="E92" s="2" t="inlineStr">
        <is>
          <t>Siemens Reyrolle 7SR5</t>
        </is>
      </c>
      <c r="F92" s="2" t="inlineStr">
        <is>
          <t>9.8</t>
        </is>
      </c>
      <c r="G92" s="2" t="inlineStr">
        <is>
          <t>critical</t>
        </is>
      </c>
      <c r="H92" s="2" t="inlineStr">
        <is>
          <t>9/15/2026</t>
        </is>
      </c>
      <c r="I92" s="2" t="inlineStr">
        <is>
          <t>9/15/2026</t>
        </is>
      </c>
      <c r="J92" s="2" t="inlineStr">
        <is>
          <t>2026-09-08T08:11:33.091Z</t>
        </is>
      </c>
      <c r="K92" s="2" t="inlineStr">
        <is>
          <t>Energy</t>
        </is>
      </c>
      <c r="L92" s="2" t="inlineStr">
        <is>
          <t>Yes</t>
        </is>
      </c>
      <c r="M92" s="2" t="inlineStr">
        <is>
          <t>Likely</t>
        </is>
      </c>
      <c r="N92" s="2" t="inlineStr">
        <is>
          <t>Y</t>
        </is>
      </c>
      <c r="O92" s="2" t="inlineStr">
        <is>
          <t>N</t>
        </is>
      </c>
      <c r="P92" s="2">
        <f>IF(O92="Y",10,0)+IF(G92="Critical",65,IF(G92="High",60,IF(G92="Medium",50,IF(G92="Low",35,0))))</f>
        <v/>
      </c>
      <c r="Q92" s="2" t="inlineStr">
        <is>
          <t>Integer Overflow, Improper Input Validation, Missing Authentication, Resource Allocation Without Limits, Out-of-Bounds Write / RCE</t>
        </is>
      </c>
      <c r="R92" s="2" t="inlineStr">
        <is>
          <t>Reyrolle 7SR5</t>
        </is>
      </c>
      <c r="S92" s="2" t="inlineStr">
        <is>
          <t>Unknown</t>
        </is>
      </c>
      <c r="T92" s="2" t="inlineStr">
        <is>
          <t>CWE-140, CWE-190, CWE-20, CWE-215, CWE-288, CWE-306, CWE-331, CWE-494, CWE-770, CWE-787, CWE-823</t>
        </is>
      </c>
      <c r="U92" s="2" t="inlineStr">
        <is>
          <t>https://www.cisa.gov/news-events/ics-advisories/icsa-26-258-05</t>
        </is>
      </c>
      <c r="V92" s="2" t="inlineStr">
        <is>
          <t>Germany</t>
        </is>
      </c>
      <c r="W92" s="2" t="inlineStr">
        <is>
          <t>Worldwide</t>
        </is>
      </c>
      <c r="X92" s="2" t="inlineStr"/>
      <c r="Y92" s="2" t="inlineStr">
        <is>
          <t>csv</t>
        </is>
      </c>
    </row>
    <row r="93">
      <c r="A93" s="2" t="inlineStr">
        <is>
          <t>ICSA-26-258-05</t>
        </is>
      </c>
      <c r="B93" s="2" t="inlineStr">
        <is>
          <t>CVE-2026-62653</t>
        </is>
      </c>
      <c r="C93" s="2" t="inlineStr">
        <is>
          <t>Siemens Reyrolle 7SR5</t>
        </is>
      </c>
      <c r="D93" s="2" t="inlineStr">
        <is>
          <t>Siemens</t>
        </is>
      </c>
      <c r="E93" s="2" t="inlineStr">
        <is>
          <t>Siemens Reyrolle 7SR5</t>
        </is>
      </c>
      <c r="F93" s="2" t="inlineStr">
        <is>
          <t>9.8</t>
        </is>
      </c>
      <c r="G93" s="2" t="inlineStr">
        <is>
          <t>critical</t>
        </is>
      </c>
      <c r="H93" s="2" t="inlineStr">
        <is>
          <t>9/15/2026</t>
        </is>
      </c>
      <c r="I93" s="2" t="inlineStr">
        <is>
          <t>9/15/2026</t>
        </is>
      </c>
      <c r="J93" s="2" t="inlineStr">
        <is>
          <t>2026-09-08T08:11:34.180Z</t>
        </is>
      </c>
      <c r="K93" s="2" t="inlineStr">
        <is>
          <t>Energy</t>
        </is>
      </c>
      <c r="L93" s="2" t="inlineStr">
        <is>
          <t>Yes</t>
        </is>
      </c>
      <c r="M93" s="2" t="inlineStr">
        <is>
          <t>Likely</t>
        </is>
      </c>
      <c r="N93" s="2" t="inlineStr">
        <is>
          <t>Y</t>
        </is>
      </c>
      <c r="O93" s="2" t="inlineStr">
        <is>
          <t>N</t>
        </is>
      </c>
      <c r="P93" s="2">
        <f>IF(O93="Y",10,0)+IF(G93="Critical",65,IF(G93="High",60,IF(G93="Medium",50,IF(G93="Low",35,0))))</f>
        <v/>
      </c>
      <c r="Q93" s="2" t="inlineStr">
        <is>
          <t>Integer Overflow, Improper Input Validation, Missing Authentication, Resource Allocation Without Limits, Out-of-Bounds Write / RCE</t>
        </is>
      </c>
      <c r="R93" s="2" t="inlineStr">
        <is>
          <t>Reyrolle 7SR5</t>
        </is>
      </c>
      <c r="S93" s="2" t="inlineStr">
        <is>
          <t>Unknown</t>
        </is>
      </c>
      <c r="T93" s="2" t="inlineStr">
        <is>
          <t>CWE-140, CWE-190, CWE-20, CWE-215, CWE-288, CWE-306, CWE-331, CWE-494, CWE-770, CWE-787, CWE-823</t>
        </is>
      </c>
      <c r="U93" s="2" t="inlineStr">
        <is>
          <t>https://www.cisa.gov/news-events/ics-advisories/icsa-26-258-05</t>
        </is>
      </c>
      <c r="V93" s="2" t="inlineStr">
        <is>
          <t>Germany</t>
        </is>
      </c>
      <c r="W93" s="2" t="inlineStr">
        <is>
          <t>Worldwide</t>
        </is>
      </c>
      <c r="X93" s="2" t="inlineStr"/>
      <c r="Y93" s="2" t="inlineStr">
        <is>
          <t>csv</t>
        </is>
      </c>
    </row>
    <row r="94">
      <c r="A94" s="2" t="inlineStr">
        <is>
          <t>ICSA-26-258-05</t>
        </is>
      </c>
      <c r="B94" s="2" t="inlineStr">
        <is>
          <t>CVE-2026-62654</t>
        </is>
      </c>
      <c r="C94" s="2" t="inlineStr">
        <is>
          <t>Siemens Reyrolle 7SR5</t>
        </is>
      </c>
      <c r="D94" s="2" t="inlineStr">
        <is>
          <t>Siemens</t>
        </is>
      </c>
      <c r="E94" s="2" t="inlineStr">
        <is>
          <t>Siemens Reyrolle 7SR5</t>
        </is>
      </c>
      <c r="F94" s="2" t="inlineStr">
        <is>
          <t>9.8</t>
        </is>
      </c>
      <c r="G94" s="2" t="inlineStr">
        <is>
          <t>critical</t>
        </is>
      </c>
      <c r="H94" s="2" t="inlineStr">
        <is>
          <t>9/15/2026</t>
        </is>
      </c>
      <c r="I94" s="2" t="inlineStr">
        <is>
          <t>9/15/2026</t>
        </is>
      </c>
      <c r="J94" s="2" t="inlineStr">
        <is>
          <t>2026-09-08T08:11:35.239Z</t>
        </is>
      </c>
      <c r="K94" s="2" t="inlineStr">
        <is>
          <t>Energy</t>
        </is>
      </c>
      <c r="L94" s="2" t="inlineStr">
        <is>
          <t>Yes</t>
        </is>
      </c>
      <c r="M94" s="2" t="inlineStr">
        <is>
          <t>Likely</t>
        </is>
      </c>
      <c r="N94" s="2" t="inlineStr">
        <is>
          <t>Y</t>
        </is>
      </c>
      <c r="O94" s="2" t="inlineStr">
        <is>
          <t>N</t>
        </is>
      </c>
      <c r="P94" s="2">
        <f>IF(O94="Y",10,0)+IF(G94="Critical",65,IF(G94="High",60,IF(G94="Medium",50,IF(G94="Low",35,0))))</f>
        <v/>
      </c>
      <c r="Q94" s="2" t="inlineStr">
        <is>
          <t>Integer Overflow, Improper Input Validation, Missing Authentication, Resource Allocation Without Limits, Out-of-Bounds Write / RCE</t>
        </is>
      </c>
      <c r="R94" s="2" t="inlineStr">
        <is>
          <t>Reyrolle 7SR5</t>
        </is>
      </c>
      <c r="S94" s="2" t="inlineStr">
        <is>
          <t>Unknown</t>
        </is>
      </c>
      <c r="T94" s="2" t="inlineStr">
        <is>
          <t>CWE-140, CWE-190, CWE-20, CWE-215, CWE-288, CWE-306, CWE-331, CWE-494, CWE-770, CWE-787, CWE-823</t>
        </is>
      </c>
      <c r="U94" s="2" t="inlineStr">
        <is>
          <t>https://www.cisa.gov/news-events/ics-advisories/icsa-26-258-05</t>
        </is>
      </c>
      <c r="V94" s="2" t="inlineStr">
        <is>
          <t>Germany</t>
        </is>
      </c>
      <c r="W94" s="2" t="inlineStr">
        <is>
          <t>Worldwide</t>
        </is>
      </c>
      <c r="X94" s="2" t="inlineStr"/>
      <c r="Y94" s="2" t="inlineStr">
        <is>
          <t>csv</t>
        </is>
      </c>
    </row>
    <row r="95">
      <c r="A95" s="3" t="inlineStr">
        <is>
          <t>ICSA-26-258-04</t>
        </is>
      </c>
      <c r="B95" s="3" t="inlineStr">
        <is>
          <t>CVE-2026-81861</t>
        </is>
      </c>
      <c r="C95" s="3" t="inlineStr">
        <is>
          <t>Schneider Electric SCADAPack x70 Products</t>
        </is>
      </c>
      <c r="D95" s="3" t="inlineStr">
        <is>
          <t>Schneider Electric</t>
        </is>
      </c>
      <c r="E95" s="3" t="inlineStr">
        <is>
          <t>Schneider Electric SCADAPack x70 Products</t>
        </is>
      </c>
      <c r="F95" s="3" t="inlineStr">
        <is>
          <t>6.5</t>
        </is>
      </c>
      <c r="G95" s="3" t="inlineStr">
        <is>
          <t>medium</t>
        </is>
      </c>
      <c r="H95" s="3" t="inlineStr">
        <is>
          <t>9/15/2026</t>
        </is>
      </c>
      <c r="I95" s="3" t="inlineStr">
        <is>
          <t>9/15/2026</t>
        </is>
      </c>
      <c r="J95" s="3" t="inlineStr">
        <is>
          <t>2026-09-11T15:07:48.927Z</t>
        </is>
      </c>
      <c r="K95" s="3" t="inlineStr">
        <is>
          <t>Critical Manufacturing; Energy</t>
        </is>
      </c>
      <c r="L95" s="3" t="inlineStr">
        <is>
          <t>Yes</t>
        </is>
      </c>
      <c r="M95" s="3" t="inlineStr">
        <is>
          <t>Unknown</t>
        </is>
      </c>
      <c r="N95" s="3" t="inlineStr">
        <is>
          <t>Y</t>
        </is>
      </c>
      <c r="O95" s="3" t="inlineStr">
        <is>
          <t>N</t>
        </is>
      </c>
      <c r="P95" s="3">
        <f>IF(O95="Y",10,0)+IF(G95="Critical",65,IF(G95="High",60,IF(G95="Medium",50,IF(G95="Low",35,0))))</f>
        <v/>
      </c>
      <c r="Q95" s="3" t="inlineStr">
        <is>
          <t>Insufficient Credential Protection</t>
        </is>
      </c>
      <c r="R95" s="3" t="inlineStr">
        <is>
          <t>SCADAPack 47x | SCADAPack 47xi | SCADAPack 47xd | SCADAPack 470R | SCADAPack 57x | SCADAPack 3xx | SCADAPack 32</t>
        </is>
      </c>
      <c r="S95" s="3" t="inlineStr">
        <is>
          <t>Unknown</t>
        </is>
      </c>
      <c r="T95" s="3" t="inlineStr">
        <is>
          <t>CWE-522</t>
        </is>
      </c>
      <c r="U95" s="3" t="inlineStr">
        <is>
          <t>https://www.cisa.gov/news-events/ics-advisories/icsa-26-258-04</t>
        </is>
      </c>
      <c r="V95" s="3" t="inlineStr">
        <is>
          <t>France</t>
        </is>
      </c>
      <c r="W95" s="3" t="inlineStr">
        <is>
          <t>Worldwide</t>
        </is>
      </c>
      <c r="X95" s="3" t="inlineStr"/>
      <c r="Y95" s="3" t="inlineStr">
        <is>
          <t>csv</t>
        </is>
      </c>
    </row>
    <row r="96">
      <c r="A96" s="2" t="inlineStr">
        <is>
          <t>ICSA-26-258-03</t>
        </is>
      </c>
      <c r="B96" s="2" t="inlineStr">
        <is>
          <t>CVE-2026-73807</t>
        </is>
      </c>
      <c r="C96" s="2" t="inlineStr">
        <is>
          <t>mySCADA myPRO Manager</t>
        </is>
      </c>
      <c r="D96" s="2" t="inlineStr">
        <is>
          <t>mySCADA Technologies</t>
        </is>
      </c>
      <c r="E96" s="2" t="inlineStr">
        <is>
          <t>mySCADA myPRO Manager</t>
        </is>
      </c>
      <c r="F96" s="2" t="inlineStr">
        <is>
          <t>9.8</t>
        </is>
      </c>
      <c r="G96" s="2" t="inlineStr">
        <is>
          <t>critical</t>
        </is>
      </c>
      <c r="H96" s="2" t="inlineStr">
        <is>
          <t>9/15/2026</t>
        </is>
      </c>
      <c r="I96" s="2" t="inlineStr">
        <is>
          <t>9/15/2026</t>
        </is>
      </c>
      <c r="J96" s="2" t="inlineStr">
        <is>
          <t>2026-09-15T21:42:55.976Z</t>
        </is>
      </c>
      <c r="K96" s="2" t="inlineStr">
        <is>
          <t>Critical Manufacturing; Energy; Food and Agriculture; Transportation Systems; Water and Wastewater Systems</t>
        </is>
      </c>
      <c r="L96" s="2" t="inlineStr">
        <is>
          <t>Yes</t>
        </is>
      </c>
      <c r="M96" s="2" t="inlineStr">
        <is>
          <t>Likely</t>
        </is>
      </c>
      <c r="N96" s="2" t="inlineStr">
        <is>
          <t>Y</t>
        </is>
      </c>
      <c r="O96" s="2" t="inlineStr">
        <is>
          <t>N</t>
        </is>
      </c>
      <c r="P96" s="2">
        <f>IF(O96="Y",10,0)+IF(G96="Critical",65,IF(G96="High",60,IF(G96="Medium",50,IF(G96="Low",35,0))))</f>
        <v/>
      </c>
      <c r="Q96" s="2" t="inlineStr">
        <is>
          <t>Missing Authentication, Missing Authorization</t>
        </is>
      </c>
      <c r="R96" s="2" t="inlineStr">
        <is>
          <t>mySCADA myPRO Manager &lt;=2.1</t>
        </is>
      </c>
      <c r="S96" s="2" t="inlineStr">
        <is>
          <t>2.1</t>
        </is>
      </c>
      <c r="T96" s="2" t="inlineStr">
        <is>
          <t>CWE-306, CWE-862</t>
        </is>
      </c>
      <c r="U96" s="2" t="inlineStr">
        <is>
          <t>https://www.cisa.gov/news-events/ics-advisories/icsa-26-258-03</t>
        </is>
      </c>
      <c r="V96" s="2" t="inlineStr">
        <is>
          <t>Czechia</t>
        </is>
      </c>
      <c r="W96" s="2" t="inlineStr">
        <is>
          <t>Worldwide</t>
        </is>
      </c>
      <c r="X96" s="2" t="inlineStr"/>
      <c r="Y96" s="2" t="inlineStr">
        <is>
          <t>csv</t>
        </is>
      </c>
    </row>
    <row r="97">
      <c r="A97" s="2" t="inlineStr">
        <is>
          <t>ICSA-26-258-03</t>
        </is>
      </c>
      <c r="B97" s="2" t="inlineStr">
        <is>
          <t>CVE-2026-82567</t>
        </is>
      </c>
      <c r="C97" s="2" t="inlineStr">
        <is>
          <t>mySCADA myPRO Manager</t>
        </is>
      </c>
      <c r="D97" s="2" t="inlineStr">
        <is>
          <t>mySCADA Technologies</t>
        </is>
      </c>
      <c r="E97" s="2" t="inlineStr">
        <is>
          <t>mySCADA myPRO Manager</t>
        </is>
      </c>
      <c r="F97" s="2" t="inlineStr">
        <is>
          <t>9.8</t>
        </is>
      </c>
      <c r="G97" s="2" t="inlineStr">
        <is>
          <t>critical</t>
        </is>
      </c>
      <c r="H97" s="2" t="inlineStr">
        <is>
          <t>9/15/2026</t>
        </is>
      </c>
      <c r="I97" s="2" t="inlineStr">
        <is>
          <t>9/15/2026</t>
        </is>
      </c>
      <c r="J97" s="2" t="inlineStr">
        <is>
          <t>2026-09-15T21:45:45.922Z</t>
        </is>
      </c>
      <c r="K97" s="2" t="inlineStr">
        <is>
          <t>Critical Manufacturing; Energy; Food and Agriculture; Transportation Systems; Water and Wastewater Systems</t>
        </is>
      </c>
      <c r="L97" s="2" t="inlineStr">
        <is>
          <t>Yes</t>
        </is>
      </c>
      <c r="M97" s="2" t="inlineStr">
        <is>
          <t>Likely</t>
        </is>
      </c>
      <c r="N97" s="2" t="inlineStr">
        <is>
          <t>Y</t>
        </is>
      </c>
      <c r="O97" s="2" t="inlineStr">
        <is>
          <t>N</t>
        </is>
      </c>
      <c r="P97" s="2">
        <f>IF(O97="Y",10,0)+IF(G97="Critical",65,IF(G97="High",60,IF(G97="Medium",50,IF(G97="Low",35,0))))</f>
        <v/>
      </c>
      <c r="Q97" s="2" t="inlineStr">
        <is>
          <t>Missing Authentication, Missing Authorization</t>
        </is>
      </c>
      <c r="R97" s="2" t="inlineStr">
        <is>
          <t>mySCADA myPRO Manager &lt;=2.1</t>
        </is>
      </c>
      <c r="S97" s="2" t="inlineStr">
        <is>
          <t>2.1</t>
        </is>
      </c>
      <c r="T97" s="2" t="inlineStr">
        <is>
          <t>CWE-306, CWE-862</t>
        </is>
      </c>
      <c r="U97" s="2" t="inlineStr">
        <is>
          <t>https://www.cisa.gov/news-events/ics-advisories/icsa-26-258-03</t>
        </is>
      </c>
      <c r="V97" s="2" t="inlineStr">
        <is>
          <t>Czechia</t>
        </is>
      </c>
      <c r="W97" s="2" t="inlineStr">
        <is>
          <t>Worldwide</t>
        </is>
      </c>
      <c r="X97" s="2" t="inlineStr"/>
      <c r="Y97" s="2" t="inlineStr">
        <is>
          <t>csv</t>
        </is>
      </c>
    </row>
    <row r="98">
      <c r="A98" s="2" t="inlineStr">
        <is>
          <t>ICSA-26-258-02</t>
        </is>
      </c>
      <c r="B98" s="2" t="inlineStr">
        <is>
          <t>CVE-2026-78225</t>
        </is>
      </c>
      <c r="C98" s="2" t="inlineStr">
        <is>
          <t>Wärtsilä FOS-Onboard (Update A)</t>
        </is>
      </c>
      <c r="D98" s="2" t="inlineStr">
        <is>
          <t>Wärtsilä</t>
        </is>
      </c>
      <c r="E98" s="2" t="inlineStr">
        <is>
          <t>Wärtsilä FOS-Onboard (Update A)</t>
        </is>
      </c>
      <c r="F98" s="2" t="inlineStr">
        <is>
          <t>8.3</t>
        </is>
      </c>
      <c r="G98" s="2" t="inlineStr">
        <is>
          <t>high</t>
        </is>
      </c>
      <c r="H98" s="2" t="inlineStr">
        <is>
          <t>9/15/2026</t>
        </is>
      </c>
      <c r="I98" s="2" t="inlineStr">
        <is>
          <t>9/24/2026</t>
        </is>
      </c>
      <c r="J98" s="2" t="inlineStr">
        <is>
          <t>2026-09-15T21:29:44.304Z</t>
        </is>
      </c>
      <c r="K98" s="2" t="inlineStr">
        <is>
          <t>Transportation Systems</t>
        </is>
      </c>
      <c r="L98" s="2" t="inlineStr">
        <is>
          <t>Yes</t>
        </is>
      </c>
      <c r="M98" s="2" t="inlineStr">
        <is>
          <t>Likely</t>
        </is>
      </c>
      <c r="N98" s="2" t="inlineStr">
        <is>
          <t>Y</t>
        </is>
      </c>
      <c r="O98" s="2" t="inlineStr">
        <is>
          <t>N</t>
        </is>
      </c>
      <c r="P98" s="2">
        <f>IF(O98="Y",10,0)+IF(G98="Critical",65,IF(G98="High",60,IF(G98="Medium",50,IF(G98="Low",35,0))))</f>
        <v/>
      </c>
      <c r="Q98" s="2" t="inlineStr">
        <is>
          <t>Unknown</t>
        </is>
      </c>
      <c r="R98" s="2" t="inlineStr">
        <is>
          <t>FOS-Onboard 5.07.0923.01</t>
        </is>
      </c>
      <c r="S98" s="2" t="inlineStr">
        <is>
          <t>Unknown</t>
        </is>
      </c>
      <c r="T98" s="2" t="inlineStr">
        <is>
          <t>CWE-321</t>
        </is>
      </c>
      <c r="U98" s="2" t="inlineStr">
        <is>
          <t>https://www.cisa.gov/news-events/ics-advisories/icsa-26-258-02</t>
        </is>
      </c>
      <c r="V98" s="2" t="inlineStr">
        <is>
          <t>Finland</t>
        </is>
      </c>
      <c r="W98" s="2" t="inlineStr">
        <is>
          <t>Worldwide</t>
        </is>
      </c>
      <c r="X98" s="2" t="inlineStr"/>
      <c r="Y98" s="2" t="inlineStr">
        <is>
          <t>csv</t>
        </is>
      </c>
    </row>
    <row r="99">
      <c r="A99" s="2" t="inlineStr">
        <is>
          <t>ICSA-26-258-02</t>
        </is>
      </c>
      <c r="B99" s="2" t="inlineStr">
        <is>
          <t>CVE-2026-81855</t>
        </is>
      </c>
      <c r="C99" s="2" t="inlineStr">
        <is>
          <t>Wärtsilä FOS-Onboard (Update A)</t>
        </is>
      </c>
      <c r="D99" s="2" t="inlineStr">
        <is>
          <t>Wärtsilä</t>
        </is>
      </c>
      <c r="E99" s="2" t="inlineStr">
        <is>
          <t>Wärtsilä FOS-Onboard (Update A)</t>
        </is>
      </c>
      <c r="F99" s="2" t="inlineStr">
        <is>
          <t>8.3</t>
        </is>
      </c>
      <c r="G99" s="2" t="inlineStr">
        <is>
          <t>high</t>
        </is>
      </c>
      <c r="H99" s="2" t="inlineStr">
        <is>
          <t>9/15/2026</t>
        </is>
      </c>
      <c r="I99" s="2" t="inlineStr">
        <is>
          <t>9/24/2026</t>
        </is>
      </c>
      <c r="J99" s="2" t="inlineStr">
        <is>
          <t>2026-09-15T21:31:59.632Z</t>
        </is>
      </c>
      <c r="K99" s="2" t="inlineStr">
        <is>
          <t>Transportation Systems</t>
        </is>
      </c>
      <c r="L99" s="2" t="inlineStr">
        <is>
          <t>Yes</t>
        </is>
      </c>
      <c r="M99" s="2" t="inlineStr">
        <is>
          <t>Likely</t>
        </is>
      </c>
      <c r="N99" s="2" t="inlineStr">
        <is>
          <t>Y</t>
        </is>
      </c>
      <c r="O99" s="2" t="inlineStr">
        <is>
          <t>N</t>
        </is>
      </c>
      <c r="P99" s="2">
        <f>IF(O99="Y",10,0)+IF(G99="Critical",65,IF(G99="High",60,IF(G99="Medium",50,IF(G99="Low",35,0))))</f>
        <v/>
      </c>
      <c r="Q99" s="2" t="inlineStr">
        <is>
          <t>Unknown</t>
        </is>
      </c>
      <c r="R99" s="2" t="inlineStr">
        <is>
          <t>FOS-Onboard 5.07.0923.01</t>
        </is>
      </c>
      <c r="S99" s="2" t="inlineStr">
        <is>
          <t>Unknown</t>
        </is>
      </c>
      <c r="T99" s="2" t="inlineStr">
        <is>
          <t>CWE-321</t>
        </is>
      </c>
      <c r="U99" s="2" t="inlineStr">
        <is>
          <t>https://www.cisa.gov/news-events/ics-advisories/icsa-26-258-02</t>
        </is>
      </c>
      <c r="V99" s="2" t="inlineStr">
        <is>
          <t>Finland</t>
        </is>
      </c>
      <c r="W99" s="2" t="inlineStr">
        <is>
          <t>Worldwide</t>
        </is>
      </c>
      <c r="X99" s="2" t="inlineStr"/>
      <c r="Y99" s="2" t="inlineStr">
        <is>
          <t>csv</t>
        </is>
      </c>
    </row>
    <row r="100">
      <c r="A100" s="2" t="inlineStr">
        <is>
          <t>ICSA-26-258-01</t>
        </is>
      </c>
      <c r="B100" s="2" t="inlineStr">
        <is>
          <t>CVE-2026-68953</t>
        </is>
      </c>
      <c r="C100" s="2" t="inlineStr">
        <is>
          <t>Digital Watchdog VMAX DVR and NVR Product Lineups</t>
        </is>
      </c>
      <c r="D100" s="2" t="inlineStr">
        <is>
          <t>Digital Watchdog</t>
        </is>
      </c>
      <c r="E100" s="2" t="inlineStr">
        <is>
          <t>Digital Watchdog VMAX DVR and NVR Product Lineups</t>
        </is>
      </c>
      <c r="F100" s="2" t="inlineStr">
        <is>
          <t>9.6</t>
        </is>
      </c>
      <c r="G100" s="2" t="inlineStr">
        <is>
          <t>critical</t>
        </is>
      </c>
      <c r="H100" s="2" t="inlineStr">
        <is>
          <t>9/15/2026</t>
        </is>
      </c>
      <c r="I100" s="2" t="inlineStr">
        <is>
          <t>9/15/2026</t>
        </is>
      </c>
      <c r="J100" s="2" t="inlineStr">
        <is>
          <t>2026-09-15T20:20:57.887Z</t>
        </is>
      </c>
      <c r="K100" s="2" t="inlineStr">
        <is>
          <t>Commercial Facilities; Government Facilities; Healthcare and Public Health; Transportation Systems</t>
        </is>
      </c>
      <c r="L100" s="2" t="inlineStr">
        <is>
          <t>Yes</t>
        </is>
      </c>
      <c r="M100" s="2" t="inlineStr">
        <is>
          <t>Likely</t>
        </is>
      </c>
      <c r="N100" s="2" t="inlineStr">
        <is>
          <t>Y</t>
        </is>
      </c>
      <c r="O100" s="2" t="inlineStr">
        <is>
          <t>N</t>
        </is>
      </c>
      <c r="P100" s="2">
        <f>IF(O100="Y",10,0)+IF(G100="Critical",65,IF(G100="High",60,IF(G100="Medium",50,IF(G100="Low",35,0))))</f>
        <v/>
      </c>
      <c r="Q100" s="2" t="inlineStr">
        <is>
          <t>Missing Authentication, Hard-coded Credentials, Missing Authorization</t>
        </is>
      </c>
      <c r="R100" s="2" t="inlineStr">
        <is>
          <t>VMAX A1 G4 DVRs | VMAX IP G4 NVRs | VMAX A1 PLUS | VA1G4 Recorder | VG4 Recorder</t>
        </is>
      </c>
      <c r="S100" s="2" t="inlineStr">
        <is>
          <t>Unknown</t>
        </is>
      </c>
      <c r="T100" s="2" t="inlineStr">
        <is>
          <t>CWE-306, CWE-337, CWE-798, CWE-862</t>
        </is>
      </c>
      <c r="U100" s="2" t="inlineStr">
        <is>
          <t>https://www.cisa.gov/news-events/ics-advisories/icsa-26-258-01</t>
        </is>
      </c>
      <c r="V100" s="2" t="inlineStr">
        <is>
          <t>United States</t>
        </is>
      </c>
      <c r="W100" s="2" t="inlineStr">
        <is>
          <t>Worldwide</t>
        </is>
      </c>
      <c r="X100" s="2" t="inlineStr"/>
      <c r="Y100" s="2" t="inlineStr">
        <is>
          <t>csv</t>
        </is>
      </c>
    </row>
    <row r="101">
      <c r="A101" s="2" t="inlineStr">
        <is>
          <t>ICSA-26-258-01</t>
        </is>
      </c>
      <c r="B101" s="2" t="inlineStr">
        <is>
          <t>CVE-2026-66890</t>
        </is>
      </c>
      <c r="C101" s="2" t="inlineStr">
        <is>
          <t>Digital Watchdog VMAX DVR and NVR Product Lineups</t>
        </is>
      </c>
      <c r="D101" s="2" t="inlineStr">
        <is>
          <t>Digital Watchdog</t>
        </is>
      </c>
      <c r="E101" s="2" t="inlineStr">
        <is>
          <t>Digital Watchdog VMAX DVR and NVR Product Lineups</t>
        </is>
      </c>
      <c r="F101" s="2" t="inlineStr">
        <is>
          <t>9.6</t>
        </is>
      </c>
      <c r="G101" s="2" t="inlineStr">
        <is>
          <t>critical</t>
        </is>
      </c>
      <c r="H101" s="2" t="inlineStr">
        <is>
          <t>9/15/2026</t>
        </is>
      </c>
      <c r="I101" s="2" t="inlineStr">
        <is>
          <t>9/15/2026</t>
        </is>
      </c>
      <c r="J101" s="2" t="inlineStr">
        <is>
          <t>2026-09-15T20:25:09.383Z</t>
        </is>
      </c>
      <c r="K101" s="2" t="inlineStr">
        <is>
          <t>Commercial Facilities; Government Facilities; Healthcare and Public Health; Transportation Systems</t>
        </is>
      </c>
      <c r="L101" s="2" t="inlineStr">
        <is>
          <t>Yes</t>
        </is>
      </c>
      <c r="M101" s="2" t="inlineStr">
        <is>
          <t>Likely</t>
        </is>
      </c>
      <c r="N101" s="2" t="inlineStr">
        <is>
          <t>Y</t>
        </is>
      </c>
      <c r="O101" s="2" t="inlineStr">
        <is>
          <t>N</t>
        </is>
      </c>
      <c r="P101" s="2">
        <f>IF(O101="Y",10,0)+IF(G101="Critical",65,IF(G101="High",60,IF(G101="Medium",50,IF(G101="Low",35,0))))</f>
        <v/>
      </c>
      <c r="Q101" s="2" t="inlineStr">
        <is>
          <t>Missing Authentication, Hard-coded Credentials, Missing Authorization</t>
        </is>
      </c>
      <c r="R101" s="2" t="inlineStr">
        <is>
          <t>VMAX A1 G4 DVRs | VMAX IP G4 NVRs | VMAX A1 PLUS | VA1G4 Recorder | VG4 Recorder</t>
        </is>
      </c>
      <c r="S101" s="2" t="inlineStr">
        <is>
          <t>Unknown</t>
        </is>
      </c>
      <c r="T101" s="2" t="inlineStr">
        <is>
          <t>CWE-306, CWE-337, CWE-798, CWE-862</t>
        </is>
      </c>
      <c r="U101" s="2" t="inlineStr">
        <is>
          <t>https://www.cisa.gov/news-events/ics-advisories/icsa-26-258-01</t>
        </is>
      </c>
      <c r="V101" s="2" t="inlineStr">
        <is>
          <t>United States</t>
        </is>
      </c>
      <c r="W101" s="2" t="inlineStr">
        <is>
          <t>Worldwide</t>
        </is>
      </c>
      <c r="X101" s="2" t="inlineStr"/>
      <c r="Y101" s="2" t="inlineStr">
        <is>
          <t>csv</t>
        </is>
      </c>
    </row>
    <row r="102">
      <c r="A102" s="2" t="inlineStr">
        <is>
          <t>ICSA-26-258-01</t>
        </is>
      </c>
      <c r="B102" s="2" t="inlineStr">
        <is>
          <t>CVE-2026-68070</t>
        </is>
      </c>
      <c r="C102" s="2" t="inlineStr">
        <is>
          <t>Digital Watchdog VMAX DVR and NVR Product Lineups</t>
        </is>
      </c>
      <c r="D102" s="2" t="inlineStr">
        <is>
          <t>Digital Watchdog</t>
        </is>
      </c>
      <c r="E102" s="2" t="inlineStr">
        <is>
          <t>Digital Watchdog VMAX DVR and NVR Product Lineups</t>
        </is>
      </c>
      <c r="F102" s="2" t="inlineStr">
        <is>
          <t>9.6</t>
        </is>
      </c>
      <c r="G102" s="2" t="inlineStr">
        <is>
          <t>critical</t>
        </is>
      </c>
      <c r="H102" s="2" t="inlineStr">
        <is>
          <t>9/15/2026</t>
        </is>
      </c>
      <c r="I102" s="2" t="inlineStr">
        <is>
          <t>9/15/2026</t>
        </is>
      </c>
      <c r="J102" s="2" t="inlineStr">
        <is>
          <t>2026-09-15T20:28:27.109Z</t>
        </is>
      </c>
      <c r="K102" s="2" t="inlineStr">
        <is>
          <t>Commercial Facilities; Government Facilities; Healthcare and Public Health; Transportation Systems</t>
        </is>
      </c>
      <c r="L102" s="2" t="inlineStr">
        <is>
          <t>Yes</t>
        </is>
      </c>
      <c r="M102" s="2" t="inlineStr">
        <is>
          <t>Likely</t>
        </is>
      </c>
      <c r="N102" s="2" t="inlineStr">
        <is>
          <t>Y</t>
        </is>
      </c>
      <c r="O102" s="2" t="inlineStr">
        <is>
          <t>N</t>
        </is>
      </c>
      <c r="P102" s="2">
        <f>IF(O102="Y",10,0)+IF(G102="Critical",65,IF(G102="High",60,IF(G102="Medium",50,IF(G102="Low",35,0))))</f>
        <v/>
      </c>
      <c r="Q102" s="2" t="inlineStr">
        <is>
          <t>Missing Authentication, Hard-coded Credentials, Missing Authorization</t>
        </is>
      </c>
      <c r="R102" s="2" t="inlineStr">
        <is>
          <t>VMAX A1 G4 DVRs | VMAX IP G4 NVRs | VMAX A1 PLUS | VA1G4 Recorder | VG4 Recorder</t>
        </is>
      </c>
      <c r="S102" s="2" t="inlineStr">
        <is>
          <t>Unknown</t>
        </is>
      </c>
      <c r="T102" s="2" t="inlineStr">
        <is>
          <t>CWE-306, CWE-337, CWE-798, CWE-862</t>
        </is>
      </c>
      <c r="U102" s="2" t="inlineStr">
        <is>
          <t>https://www.cisa.gov/news-events/ics-advisories/icsa-26-258-01</t>
        </is>
      </c>
      <c r="V102" s="2" t="inlineStr">
        <is>
          <t>United States</t>
        </is>
      </c>
      <c r="W102" s="2" t="inlineStr">
        <is>
          <t>Worldwide</t>
        </is>
      </c>
      <c r="X102" s="2" t="inlineStr"/>
      <c r="Y102" s="2" t="inlineStr">
        <is>
          <t>csv</t>
        </is>
      </c>
    </row>
    <row r="103">
      <c r="A103" s="2" t="inlineStr">
        <is>
          <t>ICSA-26-258-01</t>
        </is>
      </c>
      <c r="B103" s="2" t="inlineStr">
        <is>
          <t>CVE-2026-68950</t>
        </is>
      </c>
      <c r="C103" s="2" t="inlineStr">
        <is>
          <t>Digital Watchdog VMAX DVR and NVR Product Lineups</t>
        </is>
      </c>
      <c r="D103" s="2" t="inlineStr">
        <is>
          <t>Digital Watchdog</t>
        </is>
      </c>
      <c r="E103" s="2" t="inlineStr">
        <is>
          <t>Digital Watchdog VMAX DVR and NVR Product Lineups</t>
        </is>
      </c>
      <c r="F103" s="2" t="inlineStr">
        <is>
          <t>9.6</t>
        </is>
      </c>
      <c r="G103" s="2" t="inlineStr">
        <is>
          <t>critical</t>
        </is>
      </c>
      <c r="H103" s="2" t="inlineStr">
        <is>
          <t>9/15/2026</t>
        </is>
      </c>
      <c r="I103" s="2" t="inlineStr">
        <is>
          <t>9/15/2026</t>
        </is>
      </c>
      <c r="J103" s="2" t="inlineStr">
        <is>
          <t>2026-09-15T20:31:56.303Z</t>
        </is>
      </c>
      <c r="K103" s="2" t="inlineStr">
        <is>
          <t>Commercial Facilities; Government Facilities; Healthcare and Public Health; Transportation Systems</t>
        </is>
      </c>
      <c r="L103" s="2" t="inlineStr">
        <is>
          <t>Yes</t>
        </is>
      </c>
      <c r="M103" s="2" t="inlineStr">
        <is>
          <t>Likely</t>
        </is>
      </c>
      <c r="N103" s="2" t="inlineStr">
        <is>
          <t>Y</t>
        </is>
      </c>
      <c r="O103" s="2" t="inlineStr">
        <is>
          <t>N</t>
        </is>
      </c>
      <c r="P103" s="2">
        <f>IF(O103="Y",10,0)+IF(G103="Critical",65,IF(G103="High",60,IF(G103="Medium",50,IF(G103="Low",35,0))))</f>
        <v/>
      </c>
      <c r="Q103" s="2" t="inlineStr">
        <is>
          <t>Missing Authentication, Hard-coded Credentials, Missing Authorization</t>
        </is>
      </c>
      <c r="R103" s="2" t="inlineStr">
        <is>
          <t>VMAX A1 G4 DVRs | VMAX IP G4 NVRs | VMAX A1 PLUS | VA1G4 Recorder | VG4 Recorder</t>
        </is>
      </c>
      <c r="S103" s="2" t="inlineStr">
        <is>
          <t>Unknown</t>
        </is>
      </c>
      <c r="T103" s="2" t="inlineStr">
        <is>
          <t>CWE-306, CWE-337, CWE-798, CWE-862</t>
        </is>
      </c>
      <c r="U103" s="2" t="inlineStr">
        <is>
          <t>https://www.cisa.gov/news-events/ics-advisories/icsa-26-258-01</t>
        </is>
      </c>
      <c r="V103" s="2" t="inlineStr">
        <is>
          <t>United States</t>
        </is>
      </c>
      <c r="W103" s="2" t="inlineStr">
        <is>
          <t>Worldwide</t>
        </is>
      </c>
      <c r="X103" s="2" t="inlineStr"/>
      <c r="Y103" s="2" t="inlineStr">
        <is>
          <t>csv</t>
        </is>
      </c>
    </row>
    <row r="104">
      <c r="A104" s="2" t="inlineStr">
        <is>
          <t>ICSA-26-258-01</t>
        </is>
      </c>
      <c r="B104" s="2" t="inlineStr">
        <is>
          <t>CVE-2026-66887</t>
        </is>
      </c>
      <c r="C104" s="2" t="inlineStr">
        <is>
          <t>Digital Watchdog VMAX DVR and NVR Product Lineups</t>
        </is>
      </c>
      <c r="D104" s="2" t="inlineStr">
        <is>
          <t>Digital Watchdog</t>
        </is>
      </c>
      <c r="E104" s="2" t="inlineStr">
        <is>
          <t>Digital Watchdog VMAX DVR and NVR Product Lineups</t>
        </is>
      </c>
      <c r="F104" s="2" t="inlineStr">
        <is>
          <t>9.6</t>
        </is>
      </c>
      <c r="G104" s="2" t="inlineStr">
        <is>
          <t>critical</t>
        </is>
      </c>
      <c r="H104" s="2" t="inlineStr">
        <is>
          <t>9/15/2026</t>
        </is>
      </c>
      <c r="I104" s="2" t="inlineStr">
        <is>
          <t>9/15/2026</t>
        </is>
      </c>
      <c r="J104" s="2" t="inlineStr">
        <is>
          <t>2026-09-15T20:37:51.407Z</t>
        </is>
      </c>
      <c r="K104" s="2" t="inlineStr">
        <is>
          <t>Commercial Facilities; Government Facilities; Healthcare and Public Health; Transportation Systems</t>
        </is>
      </c>
      <c r="L104" s="2" t="inlineStr">
        <is>
          <t>Yes</t>
        </is>
      </c>
      <c r="M104" s="2" t="inlineStr">
        <is>
          <t>Likely</t>
        </is>
      </c>
      <c r="N104" s="2" t="inlineStr">
        <is>
          <t>Y</t>
        </is>
      </c>
      <c r="O104" s="2" t="inlineStr">
        <is>
          <t>N</t>
        </is>
      </c>
      <c r="P104" s="2">
        <f>IF(O104="Y",10,0)+IF(G104="Critical",65,IF(G104="High",60,IF(G104="Medium",50,IF(G104="Low",35,0))))</f>
        <v/>
      </c>
      <c r="Q104" s="2" t="inlineStr">
        <is>
          <t>Missing Authentication, Hard-coded Credentials, Missing Authorization</t>
        </is>
      </c>
      <c r="R104" s="2" t="inlineStr">
        <is>
          <t>VMAX A1 G4 DVRs | VMAX IP G4 NVRs | VMAX A1 PLUS | VA1G4 Recorder | VG4 Recorder</t>
        </is>
      </c>
      <c r="S104" s="2" t="inlineStr">
        <is>
          <t>Unknown</t>
        </is>
      </c>
      <c r="T104" s="2" t="inlineStr">
        <is>
          <t>CWE-306, CWE-337, CWE-798, CWE-862</t>
        </is>
      </c>
      <c r="U104" s="2" t="inlineStr">
        <is>
          <t>https://www.cisa.gov/news-events/ics-advisories/icsa-26-258-01</t>
        </is>
      </c>
      <c r="V104" s="2" t="inlineStr">
        <is>
          <t>United States</t>
        </is>
      </c>
      <c r="W104" s="2" t="inlineStr">
        <is>
          <t>Worldwide</t>
        </is>
      </c>
      <c r="X104" s="2" t="inlineStr"/>
      <c r="Y104" s="2" t="inlineStr">
        <is>
          <t>csv</t>
        </is>
      </c>
    </row>
    <row r="105">
      <c r="A105" s="2" t="inlineStr">
        <is>
          <t>ICSA-26-258-01</t>
        </is>
      </c>
      <c r="B105" s="2" t="inlineStr">
        <is>
          <t>CVE-2026-66372</t>
        </is>
      </c>
      <c r="C105" s="2" t="inlineStr">
        <is>
          <t>Digital Watchdog VMAX DVR and NVR Product Lineups</t>
        </is>
      </c>
      <c r="D105" s="2" t="inlineStr">
        <is>
          <t>Digital Watchdog</t>
        </is>
      </c>
      <c r="E105" s="2" t="inlineStr">
        <is>
          <t>Digital Watchdog VMAX DVR and NVR Product Lineups</t>
        </is>
      </c>
      <c r="F105" s="2" t="inlineStr">
        <is>
          <t>9.6</t>
        </is>
      </c>
      <c r="G105" s="2" t="inlineStr">
        <is>
          <t>critical</t>
        </is>
      </c>
      <c r="H105" s="2" t="inlineStr">
        <is>
          <t>9/15/2026</t>
        </is>
      </c>
      <c r="I105" s="2" t="inlineStr">
        <is>
          <t>9/15/2026</t>
        </is>
      </c>
      <c r="J105" s="2" t="inlineStr">
        <is>
          <t>2026-09-15T20:41:19.724Z</t>
        </is>
      </c>
      <c r="K105" s="2" t="inlineStr">
        <is>
          <t>Commercial Facilities; Government Facilities; Healthcare and Public Health; Transportation Systems</t>
        </is>
      </c>
      <c r="L105" s="2" t="inlineStr">
        <is>
          <t>Yes</t>
        </is>
      </c>
      <c r="M105" s="2" t="inlineStr">
        <is>
          <t>Likely</t>
        </is>
      </c>
      <c r="N105" s="2" t="inlineStr">
        <is>
          <t>Y</t>
        </is>
      </c>
      <c r="O105" s="2" t="inlineStr">
        <is>
          <t>N</t>
        </is>
      </c>
      <c r="P105" s="2">
        <f>IF(O105="Y",10,0)+IF(G105="Critical",65,IF(G105="High",60,IF(G105="Medium",50,IF(G105="Low",35,0))))</f>
        <v/>
      </c>
      <c r="Q105" s="2" t="inlineStr">
        <is>
          <t>Missing Authentication, Hard-coded Credentials, Missing Authorization</t>
        </is>
      </c>
      <c r="R105" s="2" t="inlineStr">
        <is>
          <t>VMAX A1 G4 DVRs | VMAX IP G4 NVRs | VMAX A1 PLUS | VA1G4 Recorder | VG4 Recorder</t>
        </is>
      </c>
      <c r="S105" s="2" t="inlineStr">
        <is>
          <t>Unknown</t>
        </is>
      </c>
      <c r="T105" s="2" t="inlineStr">
        <is>
          <t>CWE-306, CWE-337, CWE-798, CWE-862</t>
        </is>
      </c>
      <c r="U105" s="2" t="inlineStr">
        <is>
          <t>https://www.cisa.gov/news-events/ics-advisories/icsa-26-258-01</t>
        </is>
      </c>
      <c r="V105" s="2" t="inlineStr">
        <is>
          <t>United States</t>
        </is>
      </c>
      <c r="W105" s="2" t="inlineStr">
        <is>
          <t>Worldwide</t>
        </is>
      </c>
      <c r="X105" s="2" t="inlineStr"/>
      <c r="Y105" s="2" t="inlineStr">
        <is>
          <t>csv</t>
        </is>
      </c>
    </row>
    <row r="106">
      <c r="A106" s="2" t="inlineStr">
        <is>
          <t>ICSA-26-253-01</t>
        </is>
      </c>
      <c r="B106" s="2" t="inlineStr">
        <is>
          <t>CVE-2026-81821</t>
        </is>
      </c>
      <c r="C106" s="2" t="inlineStr">
        <is>
          <t>AVEVA Pipeline Integrity Monitor</t>
        </is>
      </c>
      <c r="D106" s="2" t="inlineStr">
        <is>
          <t>AVEVA</t>
        </is>
      </c>
      <c r="E106" s="2" t="inlineStr">
        <is>
          <t>AVEVA Pipeline Integrity Monitor</t>
        </is>
      </c>
      <c r="F106" s="2" t="inlineStr">
        <is>
          <t>8.4</t>
        </is>
      </c>
      <c r="G106" s="2" t="inlineStr">
        <is>
          <t>high</t>
        </is>
      </c>
      <c r="H106" s="2" t="inlineStr">
        <is>
          <t>9/10/2026</t>
        </is>
      </c>
      <c r="I106" s="2" t="inlineStr">
        <is>
          <t>9/10/2026</t>
        </is>
      </c>
      <c r="J106" s="2" t="inlineStr">
        <is>
          <t>2026-09-08T17:42:30.604Z</t>
        </is>
      </c>
      <c r="K106" s="2" t="inlineStr">
        <is>
          <t>Critical Manufacturing</t>
        </is>
      </c>
      <c r="L106" s="2" t="inlineStr">
        <is>
          <t>Yes</t>
        </is>
      </c>
      <c r="M106" s="2" t="inlineStr">
        <is>
          <t>Likely</t>
        </is>
      </c>
      <c r="N106" s="2" t="inlineStr">
        <is>
          <t>Y</t>
        </is>
      </c>
      <c r="O106" s="2" t="inlineStr">
        <is>
          <t>N</t>
        </is>
      </c>
      <c r="P106" s="2">
        <f>IF(O106="Y",10,0)+IF(G106="Critical",65,IF(G106="High",60,IF(G106="Medium",50,IF(G106="Low",35,0))))</f>
        <v/>
      </c>
      <c r="Q106" s="2" t="inlineStr">
        <is>
          <t>Broken Crypto Algorithm, Cross-Site Scripting, Missing Authorization</t>
        </is>
      </c>
      <c r="R106" s="2" t="inlineStr">
        <is>
          <t>AVEVA Pipeline Integrity Monitor &lt;=2025_SP1_P1_build_7.1.9580.8513</t>
        </is>
      </c>
      <c r="S106" s="2" t="inlineStr">
        <is>
          <t>2025_SP1_P1_build_7.1.9580.8513</t>
        </is>
      </c>
      <c r="T106" s="2" t="inlineStr">
        <is>
          <t>CWE-321, CWE-327, CWE-79, CWE-862</t>
        </is>
      </c>
      <c r="U106" s="2" t="inlineStr">
        <is>
          <t>https://www.cisa.gov/news-events/ics-advisories/icsa-26-253-01</t>
        </is>
      </c>
      <c r="V106" s="2" t="inlineStr">
        <is>
          <t>United Kingdom</t>
        </is>
      </c>
      <c r="W106" s="2" t="inlineStr">
        <is>
          <t>Worldwide</t>
        </is>
      </c>
      <c r="X106" s="2" t="inlineStr"/>
      <c r="Y106" s="2" t="inlineStr">
        <is>
          <t>csv</t>
        </is>
      </c>
    </row>
    <row r="107">
      <c r="A107" s="2" t="inlineStr">
        <is>
          <t>ICSA-26-253-01</t>
        </is>
      </c>
      <c r="B107" s="2" t="inlineStr">
        <is>
          <t>CVE-2026-81822</t>
        </is>
      </c>
      <c r="C107" s="2" t="inlineStr">
        <is>
          <t>AVEVA Pipeline Integrity Monitor</t>
        </is>
      </c>
      <c r="D107" s="2" t="inlineStr">
        <is>
          <t>AVEVA</t>
        </is>
      </c>
      <c r="E107" s="2" t="inlineStr">
        <is>
          <t>AVEVA Pipeline Integrity Monitor</t>
        </is>
      </c>
      <c r="F107" s="2" t="inlineStr">
        <is>
          <t>8.4</t>
        </is>
      </c>
      <c r="G107" s="2" t="inlineStr">
        <is>
          <t>high</t>
        </is>
      </c>
      <c r="H107" s="2" t="inlineStr">
        <is>
          <t>9/10/2026</t>
        </is>
      </c>
      <c r="I107" s="2" t="inlineStr">
        <is>
          <t>9/10/2026</t>
        </is>
      </c>
      <c r="J107" s="2" t="inlineStr">
        <is>
          <t>2026-09-08T17:39:46.092Z</t>
        </is>
      </c>
      <c r="K107" s="2" t="inlineStr">
        <is>
          <t>Critical Manufacturing</t>
        </is>
      </c>
      <c r="L107" s="2" t="inlineStr">
        <is>
          <t>Yes</t>
        </is>
      </c>
      <c r="M107" s="2" t="inlineStr">
        <is>
          <t>Likely</t>
        </is>
      </c>
      <c r="N107" s="2" t="inlineStr">
        <is>
          <t>Y</t>
        </is>
      </c>
      <c r="O107" s="2" t="inlineStr">
        <is>
          <t>N</t>
        </is>
      </c>
      <c r="P107" s="2">
        <f>IF(O107="Y",10,0)+IF(G107="Critical",65,IF(G107="High",60,IF(G107="Medium",50,IF(G107="Low",35,0))))</f>
        <v/>
      </c>
      <c r="Q107" s="2" t="inlineStr">
        <is>
          <t>Broken Crypto Algorithm, Cross-Site Scripting, Missing Authorization</t>
        </is>
      </c>
      <c r="R107" s="2" t="inlineStr">
        <is>
          <t>AVEVA Pipeline Integrity Monitor &lt;=2025_SP1_P1_build_7.1.9580.8513</t>
        </is>
      </c>
      <c r="S107" s="2" t="inlineStr">
        <is>
          <t>2025_SP1_P1_build_7.1.9580.8513</t>
        </is>
      </c>
      <c r="T107" s="2" t="inlineStr">
        <is>
          <t>CWE-321, CWE-327, CWE-79, CWE-862</t>
        </is>
      </c>
      <c r="U107" s="2" t="inlineStr">
        <is>
          <t>https://www.cisa.gov/news-events/ics-advisories/icsa-26-253-01</t>
        </is>
      </c>
      <c r="V107" s="2" t="inlineStr">
        <is>
          <t>United Kingdom</t>
        </is>
      </c>
      <c r="W107" s="2" t="inlineStr">
        <is>
          <t>Worldwide</t>
        </is>
      </c>
      <c r="X107" s="2" t="inlineStr"/>
      <c r="Y107" s="2" t="inlineStr">
        <is>
          <t>csv</t>
        </is>
      </c>
    </row>
    <row r="108">
      <c r="A108" s="2" t="inlineStr">
        <is>
          <t>ICSA-26-253-01</t>
        </is>
      </c>
      <c r="B108" s="2" t="inlineStr">
        <is>
          <t>CVE-2026-81823</t>
        </is>
      </c>
      <c r="C108" s="2" t="inlineStr">
        <is>
          <t>AVEVA Pipeline Integrity Monitor</t>
        </is>
      </c>
      <c r="D108" s="2" t="inlineStr">
        <is>
          <t>AVEVA</t>
        </is>
      </c>
      <c r="E108" s="2" t="inlineStr">
        <is>
          <t>AVEVA Pipeline Integrity Monitor</t>
        </is>
      </c>
      <c r="F108" s="2" t="inlineStr">
        <is>
          <t>8.4</t>
        </is>
      </c>
      <c r="G108" s="2" t="inlineStr">
        <is>
          <t>high</t>
        </is>
      </c>
      <c r="H108" s="2" t="inlineStr">
        <is>
          <t>9/10/2026</t>
        </is>
      </c>
      <c r="I108" s="2" t="inlineStr">
        <is>
          <t>9/10/2026</t>
        </is>
      </c>
      <c r="J108" s="2" t="inlineStr">
        <is>
          <t>2026-09-08T17:36:55.047Z</t>
        </is>
      </c>
      <c r="K108" s="2" t="inlineStr">
        <is>
          <t>Critical Manufacturing</t>
        </is>
      </c>
      <c r="L108" s="2" t="inlineStr">
        <is>
          <t>Yes</t>
        </is>
      </c>
      <c r="M108" s="2" t="inlineStr">
        <is>
          <t>Likely</t>
        </is>
      </c>
      <c r="N108" s="2" t="inlineStr">
        <is>
          <t>Y</t>
        </is>
      </c>
      <c r="O108" s="2" t="inlineStr">
        <is>
          <t>N</t>
        </is>
      </c>
      <c r="P108" s="2">
        <f>IF(O108="Y",10,0)+IF(G108="Critical",65,IF(G108="High",60,IF(G108="Medium",50,IF(G108="Low",35,0))))</f>
        <v/>
      </c>
      <c r="Q108" s="2" t="inlineStr">
        <is>
          <t>Broken Crypto Algorithm, Cross-Site Scripting, Missing Authorization</t>
        </is>
      </c>
      <c r="R108" s="2" t="inlineStr">
        <is>
          <t>AVEVA Pipeline Integrity Monitor &lt;=2025_SP1_P1_build_7.1.9580.8513</t>
        </is>
      </c>
      <c r="S108" s="2" t="inlineStr">
        <is>
          <t>2025_SP1_P1_build_7.1.9580.8513</t>
        </is>
      </c>
      <c r="T108" s="2" t="inlineStr">
        <is>
          <t>CWE-321, CWE-327, CWE-79, CWE-862</t>
        </is>
      </c>
      <c r="U108" s="2" t="inlineStr">
        <is>
          <t>https://www.cisa.gov/news-events/ics-advisories/icsa-26-253-01</t>
        </is>
      </c>
      <c r="V108" s="2" t="inlineStr">
        <is>
          <t>United Kingdom</t>
        </is>
      </c>
      <c r="W108" s="2" t="inlineStr">
        <is>
          <t>Worldwide</t>
        </is>
      </c>
      <c r="X108" s="2" t="inlineStr"/>
      <c r="Y108" s="2" t="inlineStr">
        <is>
          <t>csv</t>
        </is>
      </c>
    </row>
    <row r="109">
      <c r="A109" s="2" t="inlineStr">
        <is>
          <t>ICSA-26-253-01</t>
        </is>
      </c>
      <c r="B109" s="2" t="inlineStr">
        <is>
          <t>CVE-2026-81824</t>
        </is>
      </c>
      <c r="C109" s="2" t="inlineStr">
        <is>
          <t>AVEVA Pipeline Integrity Monitor</t>
        </is>
      </c>
      <c r="D109" s="2" t="inlineStr">
        <is>
          <t>AVEVA</t>
        </is>
      </c>
      <c r="E109" s="2" t="inlineStr">
        <is>
          <t>AVEVA Pipeline Integrity Monitor</t>
        </is>
      </c>
      <c r="F109" s="2" t="inlineStr">
        <is>
          <t>8.4</t>
        </is>
      </c>
      <c r="G109" s="2" t="inlineStr">
        <is>
          <t>high</t>
        </is>
      </c>
      <c r="H109" s="2" t="inlineStr">
        <is>
          <t>9/10/2026</t>
        </is>
      </c>
      <c r="I109" s="2" t="inlineStr">
        <is>
          <t>9/10/2026</t>
        </is>
      </c>
      <c r="J109" s="2" t="inlineStr">
        <is>
          <t>2026-09-08T17:32:40.309Z</t>
        </is>
      </c>
      <c r="K109" s="2" t="inlineStr">
        <is>
          <t>Critical Manufacturing</t>
        </is>
      </c>
      <c r="L109" s="2" t="inlineStr">
        <is>
          <t>Yes</t>
        </is>
      </c>
      <c r="M109" s="2" t="inlineStr">
        <is>
          <t>Likely</t>
        </is>
      </c>
      <c r="N109" s="2" t="inlineStr">
        <is>
          <t>Y</t>
        </is>
      </c>
      <c r="O109" s="2" t="inlineStr">
        <is>
          <t>N</t>
        </is>
      </c>
      <c r="P109" s="2">
        <f>IF(O109="Y",10,0)+IF(G109="Critical",65,IF(G109="High",60,IF(G109="Medium",50,IF(G109="Low",35,0))))</f>
        <v/>
      </c>
      <c r="Q109" s="2" t="inlineStr">
        <is>
          <t>Broken Crypto Algorithm, Cross-Site Scripting, Missing Authorization</t>
        </is>
      </c>
      <c r="R109" s="2" t="inlineStr">
        <is>
          <t>AVEVA Pipeline Integrity Monitor &lt;=2025_SP1_P1_build_7.1.9580.8513</t>
        </is>
      </c>
      <c r="S109" s="2" t="inlineStr">
        <is>
          <t>2025_SP1_P1_build_7.1.9580.8513</t>
        </is>
      </c>
      <c r="T109" s="2" t="inlineStr">
        <is>
          <t>CWE-321, CWE-327, CWE-79, CWE-862</t>
        </is>
      </c>
      <c r="U109" s="2" t="inlineStr">
        <is>
          <t>https://www.cisa.gov/news-events/ics-advisories/icsa-26-253-01</t>
        </is>
      </c>
      <c r="V109" s="2" t="inlineStr">
        <is>
          <t>United Kingdom</t>
        </is>
      </c>
      <c r="W109" s="2" t="inlineStr">
        <is>
          <t>Worldwide</t>
        </is>
      </c>
      <c r="X109" s="2" t="inlineStr"/>
      <c r="Y109" s="2" t="inlineStr">
        <is>
          <t>csv</t>
        </is>
      </c>
    </row>
    <row r="110">
      <c r="A110" s="4" t="inlineStr">
        <is>
          <t>ICSA-26-251-01</t>
        </is>
      </c>
      <c r="B110" s="4" t="inlineStr">
        <is>
          <t>CVE-2026-85083</t>
        </is>
      </c>
      <c r="C110" s="4" t="inlineStr">
        <is>
          <t>CareCam Pro IP Cameras</t>
        </is>
      </c>
      <c r="D110" s="4" t="inlineStr">
        <is>
          <t>CareCam</t>
        </is>
      </c>
      <c r="E110" s="4" t="inlineStr">
        <is>
          <t>CareCam Pro IP Cameras</t>
        </is>
      </c>
      <c r="F110" s="4" t="inlineStr">
        <is>
          <t>6.8</t>
        </is>
      </c>
      <c r="G110" s="4" t="inlineStr">
        <is>
          <t>medium</t>
        </is>
      </c>
      <c r="H110" s="4" t="inlineStr">
        <is>
          <t>9/8/2026</t>
        </is>
      </c>
      <c r="I110" s="4" t="inlineStr">
        <is>
          <t>9/8/2026</t>
        </is>
      </c>
      <c r="J110" s="4" t="inlineStr">
        <is>
          <t>2026-09-11T14:55:58.655Z</t>
        </is>
      </c>
      <c r="K110" s="4" t="inlineStr">
        <is>
          <t>Commercial Facilities</t>
        </is>
      </c>
      <c r="L110" s="4" t="inlineStr">
        <is>
          <t>Yes</t>
        </is>
      </c>
      <c r="M110" s="4" t="inlineStr">
        <is>
          <t>Unknown</t>
        </is>
      </c>
      <c r="N110" s="4" t="inlineStr">
        <is>
          <t>Y</t>
        </is>
      </c>
      <c r="O110" s="4" t="inlineStr">
        <is>
          <t>N</t>
        </is>
      </c>
      <c r="P110" s="4">
        <f>IF(O110="Y",10,0)+IF(G110="Critical",65,IF(G110="High",60,IF(G110="Medium",50,IF(G110="Low",35,0))))</f>
        <v/>
      </c>
      <c r="Q110" s="4" t="inlineStr">
        <is>
          <t>Hard-coded Credentials</t>
        </is>
      </c>
      <c r="R110" s="4" t="inlineStr">
        <is>
          <t>ANJIA AJL33PC0801 Firmware linux_linux_202008261138_svn13796_/_Bootloader_U-Boot_2010.06_compiled_2020-08-26</t>
        </is>
      </c>
      <c r="S110" s="4" t="inlineStr">
        <is>
          <t>Unknown</t>
        </is>
      </c>
      <c r="T110" s="4" t="inlineStr">
        <is>
          <t>CWE-798</t>
        </is>
      </c>
      <c r="U110" s="4" t="inlineStr">
        <is>
          <t>https://www.cisa.gov/news-events/ics-advisories/icsa-26-251-01</t>
        </is>
      </c>
      <c r="V110" s="4" t="inlineStr">
        <is>
          <t>China</t>
        </is>
      </c>
      <c r="W110" s="4" t="inlineStr">
        <is>
          <t>Worldwide</t>
        </is>
      </c>
      <c r="X110" s="4" t="inlineStr"/>
      <c r="Y110" s="4" t="inlineStr">
        <is>
          <t>csv</t>
        </is>
      </c>
    </row>
    <row r="111">
      <c r="A111" s="2" t="inlineStr">
        <is>
          <t>ICSA-26-246-08</t>
        </is>
      </c>
      <c r="B111" s="2" t="inlineStr">
        <is>
          <t>CVE-2026-77847</t>
        </is>
      </c>
      <c r="C111" s="2" t="inlineStr">
        <is>
          <t>Tycon Systems TPDIN-Monitor-WEB3</t>
        </is>
      </c>
      <c r="D111" s="2" t="inlineStr">
        <is>
          <t>Tycon Systems</t>
        </is>
      </c>
      <c r="E111" s="2" t="inlineStr">
        <is>
          <t>Tycon Systems TPDIN-Monitor-WEB3</t>
        </is>
      </c>
      <c r="F111" s="2" t="inlineStr">
        <is>
          <t>8.8</t>
        </is>
      </c>
      <c r="G111" s="2" t="inlineStr">
        <is>
          <t>high</t>
        </is>
      </c>
      <c r="H111" s="2" t="inlineStr">
        <is>
          <t>9/3/2026</t>
        </is>
      </c>
      <c r="I111" s="2" t="inlineStr">
        <is>
          <t>9/3/2026</t>
        </is>
      </c>
      <c r="J111" s="2" t="inlineStr">
        <is>
          <t>2026-09-04T20:55:41.831Z</t>
        </is>
      </c>
      <c r="K111" s="2" t="inlineStr">
        <is>
          <t>Critical Manufacturing; Energy</t>
        </is>
      </c>
      <c r="L111" s="2" t="inlineStr">
        <is>
          <t>Yes</t>
        </is>
      </c>
      <c r="M111" s="2" t="inlineStr">
        <is>
          <t>Likely</t>
        </is>
      </c>
      <c r="N111" s="2" t="inlineStr">
        <is>
          <t>Y</t>
        </is>
      </c>
      <c r="O111" s="2" t="inlineStr">
        <is>
          <t>N</t>
        </is>
      </c>
      <c r="P111" s="2">
        <f>IF(O111="Y",10,0)+IF(G111="Critical",65,IF(G111="High",60,IF(G111="Medium",50,IF(G111="Low",35,0))))</f>
        <v/>
      </c>
      <c r="Q111" s="2" t="inlineStr">
        <is>
          <t>CSRF, Hard-coded Credentials, Missing Authorization</t>
        </is>
      </c>
      <c r="R111" s="2" t="inlineStr">
        <is>
          <t>TPDIN-Monitor-WEB3 &lt;=2.2.9</t>
        </is>
      </c>
      <c r="S111" s="2" t="inlineStr">
        <is>
          <t>2.2.9</t>
        </is>
      </c>
      <c r="T111" s="2" t="inlineStr">
        <is>
          <t>CWE-352, CWE-798, CWE-862</t>
        </is>
      </c>
      <c r="U111" s="2" t="inlineStr">
        <is>
          <t>https://www.cisa.gov/news-events/ics-advisories/icsa-26-246-08</t>
        </is>
      </c>
      <c r="V111" s="2" t="inlineStr">
        <is>
          <t>United States</t>
        </is>
      </c>
      <c r="W111" s="2" t="inlineStr">
        <is>
          <t>Worldwide</t>
        </is>
      </c>
      <c r="X111" s="2" t="inlineStr"/>
      <c r="Y111" s="2" t="inlineStr">
        <is>
          <t>csv</t>
        </is>
      </c>
    </row>
    <row r="112">
      <c r="A112" s="2" t="inlineStr">
        <is>
          <t>ICSA-26-246-08</t>
        </is>
      </c>
      <c r="B112" s="2" t="inlineStr">
        <is>
          <t>CVE-2026-82712</t>
        </is>
      </c>
      <c r="C112" s="2" t="inlineStr">
        <is>
          <t>Tycon Systems TPDIN-Monitor-WEB3</t>
        </is>
      </c>
      <c r="D112" s="2" t="inlineStr">
        <is>
          <t>Tycon Systems</t>
        </is>
      </c>
      <c r="E112" s="2" t="inlineStr">
        <is>
          <t>Tycon Systems TPDIN-Monitor-WEB3</t>
        </is>
      </c>
      <c r="F112" s="2" t="inlineStr">
        <is>
          <t>8.8</t>
        </is>
      </c>
      <c r="G112" s="2" t="inlineStr">
        <is>
          <t>high</t>
        </is>
      </c>
      <c r="H112" s="2" t="inlineStr">
        <is>
          <t>9/3/2026</t>
        </is>
      </c>
      <c r="I112" s="2" t="inlineStr">
        <is>
          <t>9/3/2026</t>
        </is>
      </c>
      <c r="J112" s="2" t="inlineStr">
        <is>
          <t>2026-09-04T20:58:57.898Z</t>
        </is>
      </c>
      <c r="K112" s="2" t="inlineStr">
        <is>
          <t>Critical Manufacturing; Energy</t>
        </is>
      </c>
      <c r="L112" s="2" t="inlineStr">
        <is>
          <t>Yes</t>
        </is>
      </c>
      <c r="M112" s="2" t="inlineStr">
        <is>
          <t>Likely</t>
        </is>
      </c>
      <c r="N112" s="2" t="inlineStr">
        <is>
          <t>Y</t>
        </is>
      </c>
      <c r="O112" s="2" t="inlineStr">
        <is>
          <t>N</t>
        </is>
      </c>
      <c r="P112" s="2">
        <f>IF(O112="Y",10,0)+IF(G112="Critical",65,IF(G112="High",60,IF(G112="Medium",50,IF(G112="Low",35,0))))</f>
        <v/>
      </c>
      <c r="Q112" s="2" t="inlineStr">
        <is>
          <t>CSRF, Hard-coded Credentials, Missing Authorization</t>
        </is>
      </c>
      <c r="R112" s="2" t="inlineStr">
        <is>
          <t>TPDIN-Monitor-WEB3 &lt;=2.2.9</t>
        </is>
      </c>
      <c r="S112" s="2" t="inlineStr">
        <is>
          <t>2.2.9</t>
        </is>
      </c>
      <c r="T112" s="2" t="inlineStr">
        <is>
          <t>CWE-352, CWE-798, CWE-862</t>
        </is>
      </c>
      <c r="U112" s="2" t="inlineStr">
        <is>
          <t>https://www.cisa.gov/news-events/ics-advisories/icsa-26-246-08</t>
        </is>
      </c>
      <c r="V112" s="2" t="inlineStr">
        <is>
          <t>United States</t>
        </is>
      </c>
      <c r="W112" s="2" t="inlineStr">
        <is>
          <t>Worldwide</t>
        </is>
      </c>
      <c r="X112" s="2" t="inlineStr"/>
      <c r="Y112" s="2" t="inlineStr">
        <is>
          <t>csv</t>
        </is>
      </c>
    </row>
    <row r="113">
      <c r="A113" s="2" t="inlineStr">
        <is>
          <t>ICSA-26-246-08</t>
        </is>
      </c>
      <c r="B113" s="2" t="inlineStr">
        <is>
          <t>CVE-2026-82684</t>
        </is>
      </c>
      <c r="C113" s="2" t="inlineStr">
        <is>
          <t>Tycon Systems TPDIN-Monitor-WEB3</t>
        </is>
      </c>
      <c r="D113" s="2" t="inlineStr">
        <is>
          <t>Tycon Systems</t>
        </is>
      </c>
      <c r="E113" s="2" t="inlineStr">
        <is>
          <t>Tycon Systems TPDIN-Monitor-WEB3</t>
        </is>
      </c>
      <c r="F113" s="2" t="inlineStr">
        <is>
          <t>8.8</t>
        </is>
      </c>
      <c r="G113" s="2" t="inlineStr">
        <is>
          <t>high</t>
        </is>
      </c>
      <c r="H113" s="2" t="inlineStr">
        <is>
          <t>9/3/2026</t>
        </is>
      </c>
      <c r="I113" s="2" t="inlineStr">
        <is>
          <t>9/3/2026</t>
        </is>
      </c>
      <c r="J113" s="2" t="inlineStr">
        <is>
          <t>2026-09-04T21:01:16.030Z</t>
        </is>
      </c>
      <c r="K113" s="2" t="inlineStr">
        <is>
          <t>Critical Manufacturing; Energy</t>
        </is>
      </c>
      <c r="L113" s="2" t="inlineStr">
        <is>
          <t>Yes</t>
        </is>
      </c>
      <c r="M113" s="2" t="inlineStr">
        <is>
          <t>Likely</t>
        </is>
      </c>
      <c r="N113" s="2" t="inlineStr">
        <is>
          <t>Y</t>
        </is>
      </c>
      <c r="O113" s="2" t="inlineStr">
        <is>
          <t>N</t>
        </is>
      </c>
      <c r="P113" s="2">
        <f>IF(O113="Y",10,0)+IF(G113="Critical",65,IF(G113="High",60,IF(G113="Medium",50,IF(G113="Low",35,0))))</f>
        <v/>
      </c>
      <c r="Q113" s="2" t="inlineStr">
        <is>
          <t>CSRF, Hard-coded Credentials, Missing Authorization</t>
        </is>
      </c>
      <c r="R113" s="2" t="inlineStr">
        <is>
          <t>TPDIN-Monitor-WEB3 &lt;=2.2.9</t>
        </is>
      </c>
      <c r="S113" s="2" t="inlineStr">
        <is>
          <t>2.2.9</t>
        </is>
      </c>
      <c r="T113" s="2" t="inlineStr">
        <is>
          <t>CWE-352, CWE-798, CWE-862</t>
        </is>
      </c>
      <c r="U113" s="2" t="inlineStr">
        <is>
          <t>https://www.cisa.gov/news-events/ics-advisories/icsa-26-246-08</t>
        </is>
      </c>
      <c r="V113" s="2" t="inlineStr">
        <is>
          <t>United States</t>
        </is>
      </c>
      <c r="W113" s="2" t="inlineStr">
        <is>
          <t>Worldwide</t>
        </is>
      </c>
      <c r="X113" s="2" t="inlineStr"/>
      <c r="Y113" s="2" t="inlineStr">
        <is>
          <t>csv</t>
        </is>
      </c>
    </row>
    <row r="114">
      <c r="A114" s="2" t="inlineStr">
        <is>
          <t>ICSA-26-246-07</t>
        </is>
      </c>
      <c r="B114" s="2" t="inlineStr">
        <is>
          <t>CVE-2026-78012</t>
        </is>
      </c>
      <c r="C114" s="2" t="inlineStr">
        <is>
          <t>Pyramid Solutions NetStaX EtherNet/IP Stack</t>
        </is>
      </c>
      <c r="D114" s="2" t="inlineStr">
        <is>
          <t>Pyramid Solutions</t>
        </is>
      </c>
      <c r="E114" s="2" t="inlineStr">
        <is>
          <t>Pyramid Solutions NetStaX EtherNet/IP Stack</t>
        </is>
      </c>
      <c r="F114" s="2" t="inlineStr">
        <is>
          <t>9.8</t>
        </is>
      </c>
      <c r="G114" s="2" t="inlineStr">
        <is>
          <t>critical</t>
        </is>
      </c>
      <c r="H114" s="2" t="inlineStr">
        <is>
          <t>9/3/2026</t>
        </is>
      </c>
      <c r="I114" s="2" t="inlineStr">
        <is>
          <t>9/3/2026</t>
        </is>
      </c>
      <c r="J114" s="2" t="inlineStr">
        <is>
          <t>2026-09-01T15:01:49.064Z</t>
        </is>
      </c>
      <c r="K114" s="2" t="inlineStr">
        <is>
          <t>Critical Manufacturing; Energy; Water and Wastewater Systems; Chemical</t>
        </is>
      </c>
      <c r="L114" s="2" t="inlineStr">
        <is>
          <t>Yes</t>
        </is>
      </c>
      <c r="M114" s="2" t="inlineStr">
        <is>
          <t>Likely</t>
        </is>
      </c>
      <c r="N114" s="2" t="inlineStr">
        <is>
          <t>Y</t>
        </is>
      </c>
      <c r="O114" s="2" t="inlineStr">
        <is>
          <t>N</t>
        </is>
      </c>
      <c r="P114" s="2">
        <f>IF(O114="Y",10,0)+IF(G114="Critical",65,IF(G114="High",60,IF(G114="Medium",50,IF(G114="Low",35,0))))</f>
        <v/>
      </c>
      <c r="Q114" s="2" t="inlineStr">
        <is>
          <t>Stack Buffer Overflow</t>
        </is>
      </c>
      <c r="R114" s="2" t="inlineStr">
        <is>
          <t>EtherNet/IP Adapter DLL Kit (EIPA) | EtherNet/IP Adapter DLL Kit with CIP Security (EIPA-SECURE) | EtherNet/IP Adapter Development Kit (EADK) | EtherNet/IP Adapter Development Kit with CIP Security…</t>
        </is>
      </c>
      <c r="S114" s="2" t="inlineStr">
        <is>
          <t>Unknown</t>
        </is>
      </c>
      <c r="T114" s="2" t="inlineStr">
        <is>
          <t>CWE-121</t>
        </is>
      </c>
      <c r="U114" s="2" t="inlineStr">
        <is>
          <t>https://www.cisa.gov/news-events/ics-advisories/icsa-26-246-07</t>
        </is>
      </c>
      <c r="V114" s="2" t="inlineStr">
        <is>
          <t>United States</t>
        </is>
      </c>
      <c r="W114" s="2" t="inlineStr">
        <is>
          <t>Worldwide</t>
        </is>
      </c>
      <c r="X114" s="2" t="inlineStr"/>
      <c r="Y114" s="2" t="inlineStr">
        <is>
          <t>csv</t>
        </is>
      </c>
    </row>
    <row r="115">
      <c r="A115" s="2" t="inlineStr">
        <is>
          <t>ICSA-26-246-06</t>
        </is>
      </c>
      <c r="B115" s="2" t="inlineStr">
        <is>
          <t>CVE-2026-77393</t>
        </is>
      </c>
      <c r="C115" s="2" t="inlineStr">
        <is>
          <t>Inductive Automation Ignition</t>
        </is>
      </c>
      <c r="D115" s="2" t="inlineStr">
        <is>
          <t>Inductive Automation</t>
        </is>
      </c>
      <c r="E115" s="2" t="inlineStr">
        <is>
          <t>Inductive Automation Ignition</t>
        </is>
      </c>
      <c r="F115" s="2" t="inlineStr">
        <is>
          <t>8.8</t>
        </is>
      </c>
      <c r="G115" s="2" t="inlineStr">
        <is>
          <t>high</t>
        </is>
      </c>
      <c r="H115" s="2" t="inlineStr">
        <is>
          <t>9/3/2026</t>
        </is>
      </c>
      <c r="I115" s="2" t="inlineStr">
        <is>
          <t>9/3/2026</t>
        </is>
      </c>
      <c r="J115" s="2" t="inlineStr">
        <is>
          <t>2026-09-04T21:10:25.580Z</t>
        </is>
      </c>
      <c r="K115" s="2" t="inlineStr">
        <is>
          <t>Critical Manufacturing; Energy; Information Technology</t>
        </is>
      </c>
      <c r="L115" s="2" t="inlineStr">
        <is>
          <t>Yes</t>
        </is>
      </c>
      <c r="M115" s="2" t="inlineStr">
        <is>
          <t>Likely</t>
        </is>
      </c>
      <c r="N115" s="2" t="inlineStr">
        <is>
          <t>Y</t>
        </is>
      </c>
      <c r="O115" s="2" t="inlineStr">
        <is>
          <t>N</t>
        </is>
      </c>
      <c r="P115" s="2">
        <f>IF(O115="Y",10,0)+IF(G115="Critical",65,IF(G115="High",60,IF(G115="Medium",50,IF(G115="Low",35,0))))</f>
        <v/>
      </c>
      <c r="Q115" s="2" t="inlineStr">
        <is>
          <t>Incorrect Default Permissions</t>
        </is>
      </c>
      <c r="R115" s="2" t="inlineStr">
        <is>
          <t>Ignition &lt;=8.1.53</t>
        </is>
      </c>
      <c r="S115" s="2" t="inlineStr">
        <is>
          <t>8.1.53</t>
        </is>
      </c>
      <c r="T115" s="2" t="inlineStr">
        <is>
          <t>CWE-276</t>
        </is>
      </c>
      <c r="U115" s="2" t="inlineStr">
        <is>
          <t>https://www.cisa.gov/news-events/ics-advisories/icsa-26-246-06</t>
        </is>
      </c>
      <c r="V115" s="2" t="inlineStr">
        <is>
          <t>United States</t>
        </is>
      </c>
      <c r="W115" s="2" t="inlineStr">
        <is>
          <t>Worldwide</t>
        </is>
      </c>
      <c r="X115" s="2" t="inlineStr"/>
      <c r="Y115" s="2" t="inlineStr">
        <is>
          <t>csv</t>
        </is>
      </c>
    </row>
    <row r="116">
      <c r="A116" s="2" t="inlineStr">
        <is>
          <t>ICSA-26-246-05</t>
        </is>
      </c>
      <c r="B116" s="2" t="inlineStr">
        <is>
          <t>CVE-2025-10478</t>
        </is>
      </c>
      <c r="C116" s="2" t="inlineStr">
        <is>
          <t>Rockwell Automation 1756-ENBT Module</t>
        </is>
      </c>
      <c r="D116" s="2" t="inlineStr">
        <is>
          <t>Rockwell Automation</t>
        </is>
      </c>
      <c r="E116" s="2" t="inlineStr">
        <is>
          <t>Rockwell Automation 1756-ENBT Module</t>
        </is>
      </c>
      <c r="F116" s="2" t="inlineStr">
        <is>
          <t>7.5</t>
        </is>
      </c>
      <c r="G116" s="2" t="inlineStr">
        <is>
          <t>high</t>
        </is>
      </c>
      <c r="H116" s="2" t="inlineStr">
        <is>
          <t>9/3/2026</t>
        </is>
      </c>
      <c r="I116" s="2" t="inlineStr">
        <is>
          <t>9/3/2026</t>
        </is>
      </c>
      <c r="J116" s="2" t="inlineStr"/>
      <c r="K116" s="2" t="inlineStr">
        <is>
          <t>Critical Manufacturing; Food and Agriculture; Transportation Systems; Water and Wastewater Systems</t>
        </is>
      </c>
      <c r="L116" s="2" t="inlineStr">
        <is>
          <t>Yes</t>
        </is>
      </c>
      <c r="M116" s="2" t="inlineStr">
        <is>
          <t>Likely</t>
        </is>
      </c>
      <c r="N116" s="2" t="inlineStr">
        <is>
          <t>Y</t>
        </is>
      </c>
      <c r="O116" s="2" t="inlineStr">
        <is>
          <t>N</t>
        </is>
      </c>
      <c r="P116" s="2">
        <f>IF(O116="Y",10,0)+IF(G116="Critical",65,IF(G116="High",60,IF(G116="Medium",50,IF(G116="Low",35,0))))</f>
        <v/>
      </c>
      <c r="Q116" s="2" t="inlineStr">
        <is>
          <t>Unknown</t>
        </is>
      </c>
      <c r="R116" s="2" t="inlineStr">
        <is>
          <t>1756-ENBT module</t>
        </is>
      </c>
      <c r="S116" s="2" t="inlineStr">
        <is>
          <t>Unknown</t>
        </is>
      </c>
      <c r="T116" s="2" t="inlineStr">
        <is>
          <t>CWE-754</t>
        </is>
      </c>
      <c r="U116" s="2" t="inlineStr">
        <is>
          <t>https://www.cisa.gov/news-events/ics-advisories/icsa-26-246-05</t>
        </is>
      </c>
      <c r="V116" s="2" t="inlineStr">
        <is>
          <t>United States</t>
        </is>
      </c>
      <c r="W116" s="2" t="inlineStr">
        <is>
          <t>Worldwide</t>
        </is>
      </c>
      <c r="X116" s="2" t="inlineStr"/>
      <c r="Y116" s="2" t="inlineStr">
        <is>
          <t>csv</t>
        </is>
      </c>
    </row>
    <row r="117">
      <c r="A117" s="2" t="inlineStr">
        <is>
          <t>ICSA-26-246-04</t>
        </is>
      </c>
      <c r="B117" s="2" t="inlineStr">
        <is>
          <t>CVE-2026-19471</t>
        </is>
      </c>
      <c r="C117" s="2" t="inlineStr">
        <is>
          <t>Rockwell Automation ArmorStart LT</t>
        </is>
      </c>
      <c r="D117" s="2" t="inlineStr">
        <is>
          <t>Rockwell Automation</t>
        </is>
      </c>
      <c r="E117" s="2" t="inlineStr">
        <is>
          <t>Rockwell Automation ArmorStart LT</t>
        </is>
      </c>
      <c r="F117" s="2" t="inlineStr">
        <is>
          <t>7.5</t>
        </is>
      </c>
      <c r="G117" s="2" t="inlineStr">
        <is>
          <t>high</t>
        </is>
      </c>
      <c r="H117" s="2" t="inlineStr">
        <is>
          <t>9/3/2026</t>
        </is>
      </c>
      <c r="I117" s="2" t="inlineStr">
        <is>
          <t>9/3/2026</t>
        </is>
      </c>
      <c r="J117" s="2" t="inlineStr">
        <is>
          <t>2026-09-01T12:49:04.606Z</t>
        </is>
      </c>
      <c r="K117" s="2" t="inlineStr">
        <is>
          <t>Critical Manufacturing</t>
        </is>
      </c>
      <c r="L117" s="2" t="inlineStr">
        <is>
          <t>Yes</t>
        </is>
      </c>
      <c r="M117" s="2" t="inlineStr">
        <is>
          <t>Likely</t>
        </is>
      </c>
      <c r="N117" s="2" t="inlineStr">
        <is>
          <t>Y</t>
        </is>
      </c>
      <c r="O117" s="2" t="inlineStr">
        <is>
          <t>N</t>
        </is>
      </c>
      <c r="P117" s="2">
        <f>IF(O117="Y",10,0)+IF(G117="Critical",65,IF(G117="High",60,IF(G117="Medium",50,IF(G117="Low",35,0))))</f>
        <v/>
      </c>
      <c r="Q117" s="2" t="inlineStr">
        <is>
          <t>Resource Allocation Without Limits, Cross-Site Scripting</t>
        </is>
      </c>
      <c r="R117" s="2" t="inlineStr">
        <is>
          <t>ArmorStart LT &lt;=v2.001</t>
        </is>
      </c>
      <c r="S117" s="2" t="inlineStr">
        <is>
          <t>2.001</t>
        </is>
      </c>
      <c r="T117" s="2" t="inlineStr">
        <is>
          <t>CWE-770, CWE-79</t>
        </is>
      </c>
      <c r="U117" s="2" t="inlineStr">
        <is>
          <t>https://www.cisa.gov/news-events/ics-advisories/icsa-26-246-04</t>
        </is>
      </c>
      <c r="V117" s="2" t="inlineStr">
        <is>
          <t>United States</t>
        </is>
      </c>
      <c r="W117" s="2" t="inlineStr">
        <is>
          <t>Worldwide</t>
        </is>
      </c>
      <c r="X117" s="2" t="inlineStr"/>
      <c r="Y117" s="2" t="inlineStr">
        <is>
          <t>csv</t>
        </is>
      </c>
    </row>
    <row r="118">
      <c r="A118" s="2" t="inlineStr">
        <is>
          <t>ICSA-26-246-04</t>
        </is>
      </c>
      <c r="B118" s="2" t="inlineStr">
        <is>
          <t>CVE-2026-19472</t>
        </is>
      </c>
      <c r="C118" s="2" t="inlineStr">
        <is>
          <t>Rockwell Automation ArmorStart LT</t>
        </is>
      </c>
      <c r="D118" s="2" t="inlineStr">
        <is>
          <t>Rockwell Automation</t>
        </is>
      </c>
      <c r="E118" s="2" t="inlineStr">
        <is>
          <t>Rockwell Automation ArmorStart LT</t>
        </is>
      </c>
      <c r="F118" s="2" t="inlineStr">
        <is>
          <t>7.5</t>
        </is>
      </c>
      <c r="G118" s="2" t="inlineStr">
        <is>
          <t>high</t>
        </is>
      </c>
      <c r="H118" s="2" t="inlineStr">
        <is>
          <t>9/3/2026</t>
        </is>
      </c>
      <c r="I118" s="2" t="inlineStr">
        <is>
          <t>9/3/2026</t>
        </is>
      </c>
      <c r="J118" s="2" t="inlineStr">
        <is>
          <t>2026-09-01T12:51:29.551Z</t>
        </is>
      </c>
      <c r="K118" s="2" t="inlineStr">
        <is>
          <t>Critical Manufacturing</t>
        </is>
      </c>
      <c r="L118" s="2" t="inlineStr">
        <is>
          <t>Yes</t>
        </is>
      </c>
      <c r="M118" s="2" t="inlineStr">
        <is>
          <t>Likely</t>
        </is>
      </c>
      <c r="N118" s="2" t="inlineStr">
        <is>
          <t>Y</t>
        </is>
      </c>
      <c r="O118" s="2" t="inlineStr">
        <is>
          <t>N</t>
        </is>
      </c>
      <c r="P118" s="2">
        <f>IF(O118="Y",10,0)+IF(G118="Critical",65,IF(G118="High",60,IF(G118="Medium",50,IF(G118="Low",35,0))))</f>
        <v/>
      </c>
      <c r="Q118" s="2" t="inlineStr">
        <is>
          <t>Resource Allocation Without Limits, Cross-Site Scripting</t>
        </is>
      </c>
      <c r="R118" s="2" t="inlineStr">
        <is>
          <t>ArmorStart LT &lt;=v2.001</t>
        </is>
      </c>
      <c r="S118" s="2" t="inlineStr">
        <is>
          <t>2.001</t>
        </is>
      </c>
      <c r="T118" s="2" t="inlineStr">
        <is>
          <t>CWE-770, CWE-79</t>
        </is>
      </c>
      <c r="U118" s="2" t="inlineStr">
        <is>
          <t>https://www.cisa.gov/news-events/ics-advisories/icsa-26-246-04</t>
        </is>
      </c>
      <c r="V118" s="2" t="inlineStr">
        <is>
          <t>United States</t>
        </is>
      </c>
      <c r="W118" s="2" t="inlineStr">
        <is>
          <t>Worldwide</t>
        </is>
      </c>
      <c r="X118" s="2" t="inlineStr"/>
      <c r="Y118" s="2" t="inlineStr">
        <is>
          <t>csv</t>
        </is>
      </c>
    </row>
    <row r="119">
      <c r="A119" s="2" t="inlineStr">
        <is>
          <t>ICSA-26-246-03</t>
        </is>
      </c>
      <c r="B119" s="2" t="inlineStr">
        <is>
          <t>CVE-2026-12663</t>
        </is>
      </c>
      <c r="C119" s="2" t="inlineStr">
        <is>
          <t>Rockwell Automation ControlFLASH</t>
        </is>
      </c>
      <c r="D119" s="2" t="inlineStr">
        <is>
          <t>Rockwell Automation</t>
        </is>
      </c>
      <c r="E119" s="2" t="inlineStr">
        <is>
          <t>Rockwell Automation ControlFLASH</t>
        </is>
      </c>
      <c r="F119" s="2" t="inlineStr">
        <is>
          <t>7.3</t>
        </is>
      </c>
      <c r="G119" s="2" t="inlineStr">
        <is>
          <t>high</t>
        </is>
      </c>
      <c r="H119" s="2" t="inlineStr">
        <is>
          <t>9/3/2026</t>
        </is>
      </c>
      <c r="I119" s="2" t="inlineStr">
        <is>
          <t>9/3/2026</t>
        </is>
      </c>
      <c r="J119" s="2" t="inlineStr">
        <is>
          <t>2026-09-01T13:30:42.933Z</t>
        </is>
      </c>
      <c r="K119" s="2" t="inlineStr">
        <is>
          <t>Critical Manufacturing; Energy; Water and Wastewater Systems</t>
        </is>
      </c>
      <c r="L119" s="2" t="inlineStr">
        <is>
          <t>Yes</t>
        </is>
      </c>
      <c r="M119" s="2" t="inlineStr">
        <is>
          <t>Likely</t>
        </is>
      </c>
      <c r="N119" s="2" t="inlineStr">
        <is>
          <t>Y</t>
        </is>
      </c>
      <c r="O119" s="2" t="inlineStr">
        <is>
          <t>N</t>
        </is>
      </c>
      <c r="P119" s="2">
        <f>IF(O119="Y",10,0)+IF(G119="Critical",65,IF(G119="High",60,IF(G119="Medium",50,IF(G119="Low",35,0))))</f>
        <v/>
      </c>
      <c r="Q119" s="2" t="inlineStr">
        <is>
          <t>Missing Authentication</t>
        </is>
      </c>
      <c r="R119" s="2" t="inlineStr">
        <is>
          <t>ControlFLASH &lt;=V15.07</t>
        </is>
      </c>
      <c r="S119" s="2" t="inlineStr">
        <is>
          <t>15.07</t>
        </is>
      </c>
      <c r="T119" s="2" t="inlineStr">
        <is>
          <t>CWE-306</t>
        </is>
      </c>
      <c r="U119" s="2" t="inlineStr">
        <is>
          <t>https://www.cisa.gov/news-events/ics-advisories/icsa-26-246-03</t>
        </is>
      </c>
      <c r="V119" s="2" t="inlineStr">
        <is>
          <t>United States</t>
        </is>
      </c>
      <c r="W119" s="2" t="inlineStr">
        <is>
          <t>Worldwide</t>
        </is>
      </c>
      <c r="X119" s="2" t="inlineStr"/>
      <c r="Y119" s="2" t="inlineStr">
        <is>
          <t>csv</t>
        </is>
      </c>
    </row>
    <row r="120">
      <c r="A120" s="2" t="inlineStr">
        <is>
          <t>ICSA-26-246-02</t>
        </is>
      </c>
      <c r="B120" s="2" t="inlineStr">
        <is>
          <t>CVE-2026-75925</t>
        </is>
      </c>
      <c r="C120" s="2" t="inlineStr">
        <is>
          <t>IXON VPN Client</t>
        </is>
      </c>
      <c r="D120" s="2" t="inlineStr">
        <is>
          <t>IXON</t>
        </is>
      </c>
      <c r="E120" s="2" t="inlineStr">
        <is>
          <t>IXON VPN Client</t>
        </is>
      </c>
      <c r="F120" s="2" t="inlineStr">
        <is>
          <t>9.6</t>
        </is>
      </c>
      <c r="G120" s="2" t="inlineStr">
        <is>
          <t>critical</t>
        </is>
      </c>
      <c r="H120" s="2" t="inlineStr">
        <is>
          <t>9/3/2026</t>
        </is>
      </c>
      <c r="I120" s="2" t="inlineStr">
        <is>
          <t>9/3/2026</t>
        </is>
      </c>
      <c r="J120" s="2" t="inlineStr">
        <is>
          <t>2026-09-04T21:19:02.213Z</t>
        </is>
      </c>
      <c r="K120" s="2" t="inlineStr">
        <is>
          <t>Commercial Facilities; Critical Manufacturing; Energy; Information Technology; Water and Wastewater Systems</t>
        </is>
      </c>
      <c r="L120" s="2" t="inlineStr">
        <is>
          <t>Yes</t>
        </is>
      </c>
      <c r="M120" s="2" t="inlineStr">
        <is>
          <t>Likely</t>
        </is>
      </c>
      <c r="N120" s="2" t="inlineStr">
        <is>
          <t>Y</t>
        </is>
      </c>
      <c r="O120" s="2" t="inlineStr">
        <is>
          <t>N</t>
        </is>
      </c>
      <c r="P120" s="2">
        <f>IF(O120="Y",10,0)+IF(G120="Critical",65,IF(G120="High",60,IF(G120="Medium",50,IF(G120="Low",35,0))))</f>
        <v/>
      </c>
      <c r="Q120" s="2" t="inlineStr">
        <is>
          <t>Unknown</t>
        </is>
      </c>
      <c r="R120" s="2" t="inlineStr">
        <is>
          <t>VPN Client &lt;1.4.7</t>
        </is>
      </c>
      <c r="S120" s="2" t="inlineStr">
        <is>
          <t>1.4.7</t>
        </is>
      </c>
      <c r="T120" s="2" t="inlineStr">
        <is>
          <t>CWE-93</t>
        </is>
      </c>
      <c r="U120" s="2" t="inlineStr">
        <is>
          <t>https://www.cisa.gov/news-events/ics-advisories/icsa-26-246-02</t>
        </is>
      </c>
      <c r="V120" s="2" t="inlineStr">
        <is>
          <t>Netherlands</t>
        </is>
      </c>
      <c r="W120" s="2" t="inlineStr">
        <is>
          <t>Worldwide</t>
        </is>
      </c>
      <c r="X120" s="2" t="inlineStr"/>
      <c r="Y120" s="2" t="inlineStr">
        <is>
          <t>csv</t>
        </is>
      </c>
    </row>
    <row r="121">
      <c r="A121" s="3" t="inlineStr">
        <is>
          <t>ICSA-26-246-01</t>
        </is>
      </c>
      <c r="B121" s="3" t="inlineStr">
        <is>
          <t>CVE-2026-77477</t>
        </is>
      </c>
      <c r="C121" s="3" t="inlineStr">
        <is>
          <t>OPC Foundation OPC UA LocalDiscoveryServer (LDS)</t>
        </is>
      </c>
      <c r="D121" s="3" t="inlineStr">
        <is>
          <t>OPC Foundation</t>
        </is>
      </c>
      <c r="E121" s="3" t="inlineStr">
        <is>
          <t>OPC Foundation OPC UA LocalDiscoveryServer (LDS)</t>
        </is>
      </c>
      <c r="F121" s="3" t="inlineStr">
        <is>
          <t>4.6</t>
        </is>
      </c>
      <c r="G121" s="3" t="inlineStr">
        <is>
          <t>medium</t>
        </is>
      </c>
      <c r="H121" s="3" t="inlineStr">
        <is>
          <t>9/3/2026</t>
        </is>
      </c>
      <c r="I121" s="3" t="inlineStr">
        <is>
          <t>9/3/2026</t>
        </is>
      </c>
      <c r="J121" s="3" t="inlineStr"/>
      <c r="K121" s="3" t="inlineStr">
        <is>
          <t>Chemical; Energy; Food and Agriculture; Water and Wastewater Systems; Critical Manufacturing</t>
        </is>
      </c>
      <c r="L121" s="3" t="inlineStr">
        <is>
          <t>Yes</t>
        </is>
      </c>
      <c r="M121" s="3" t="inlineStr">
        <is>
          <t>Unknown</t>
        </is>
      </c>
      <c r="N121" s="3" t="inlineStr">
        <is>
          <t>Y</t>
        </is>
      </c>
      <c r="O121" s="3" t="inlineStr">
        <is>
          <t>N</t>
        </is>
      </c>
      <c r="P121" s="3">
        <f>IF(O121="Y",10,0)+IF(G121="Critical",65,IF(G121="High",60,IF(G121="Medium",50,IF(G121="Low",35,0))))</f>
        <v/>
      </c>
      <c r="Q121" s="3" t="inlineStr">
        <is>
          <t>Unknown</t>
        </is>
      </c>
      <c r="R121" s="3" t="inlineStr">
        <is>
          <t>UA-LDS-Installers &lt;1.04.420</t>
        </is>
      </c>
      <c r="S121" s="3" t="inlineStr">
        <is>
          <t>1.04.420</t>
        </is>
      </c>
      <c r="T121" s="3" t="inlineStr">
        <is>
          <t>CWE-250</t>
        </is>
      </c>
      <c r="U121" s="3" t="inlineStr">
        <is>
          <t>https://www.cisa.gov/news-events/ics-advisories/icsa-26-246-01</t>
        </is>
      </c>
      <c r="V121" s="3" t="inlineStr">
        <is>
          <t>United States</t>
        </is>
      </c>
      <c r="W121" s="3" t="inlineStr">
        <is>
          <t>Worldwide</t>
        </is>
      </c>
      <c r="X121" s="3" t="inlineStr"/>
      <c r="Y121" s="3" t="inlineStr">
        <is>
          <t>csv</t>
        </is>
      </c>
    </row>
    <row r="122">
      <c r="A122" s="2" t="inlineStr">
        <is>
          <t>ICSA-26-244-06</t>
        </is>
      </c>
      <c r="B122" s="2" t="inlineStr">
        <is>
          <t>CVE-2025-12768</t>
        </is>
      </c>
      <c r="C122" s="2" t="inlineStr">
        <is>
          <t>Rockwell Automation Historian ME</t>
        </is>
      </c>
      <c r="D122" s="2" t="inlineStr">
        <is>
          <t>Rockwell Automation</t>
        </is>
      </c>
      <c r="E122" s="2" t="inlineStr">
        <is>
          <t>Rockwell Automation Historian ME</t>
        </is>
      </c>
      <c r="F122" s="2" t="inlineStr">
        <is>
          <t>8.0</t>
        </is>
      </c>
      <c r="G122" s="2" t="inlineStr">
        <is>
          <t>high</t>
        </is>
      </c>
      <c r="H122" s="2" t="inlineStr">
        <is>
          <t>9/1/2026</t>
        </is>
      </c>
      <c r="I122" s="2" t="inlineStr">
        <is>
          <t>9/1/2026</t>
        </is>
      </c>
      <c r="J122" s="2" t="inlineStr">
        <is>
          <t>2026-09-01T13:40:50.136Z</t>
        </is>
      </c>
      <c r="K122" s="2" t="inlineStr">
        <is>
          <t>Chemical; Critical Manufacturing; Food and Agriculture; Healthcare and Public Health; Water and Wastewater Systems</t>
        </is>
      </c>
      <c r="L122" s="2" t="inlineStr">
        <is>
          <t>Yes</t>
        </is>
      </c>
      <c r="M122" s="2" t="inlineStr">
        <is>
          <t>Likely</t>
        </is>
      </c>
      <c r="N122" s="2" t="inlineStr">
        <is>
          <t>Y</t>
        </is>
      </c>
      <c r="O122" s="2" t="inlineStr">
        <is>
          <t>N</t>
        </is>
      </c>
      <c r="P122" s="2">
        <f>IF(O122="Y",10,0)+IF(G122="Critical",65,IF(G122="High",60,IF(G122="Medium",50,IF(G122="Low",35,0))))</f>
        <v/>
      </c>
      <c r="Q122" s="2" t="inlineStr">
        <is>
          <t>Stack Buffer Overflow, Out-of-Bounds Write / RCE</t>
        </is>
      </c>
      <c r="R122" s="2" t="inlineStr">
        <is>
          <t>Series B 5.202 | Series C 7.101</t>
        </is>
      </c>
      <c r="S122" s="2" t="inlineStr">
        <is>
          <t>Unknown</t>
        </is>
      </c>
      <c r="T122" s="2" t="inlineStr">
        <is>
          <t>CWE-121, CWE-787</t>
        </is>
      </c>
      <c r="U122" s="2" t="inlineStr">
        <is>
          <t>https://www.cisa.gov/news-events/ics-advisories/icsa-26-244-06</t>
        </is>
      </c>
      <c r="V122" s="2" t="inlineStr">
        <is>
          <t>United States</t>
        </is>
      </c>
      <c r="W122" s="2" t="inlineStr">
        <is>
          <t>Worldwide</t>
        </is>
      </c>
      <c r="X122" s="2" t="inlineStr"/>
      <c r="Y122" s="2" t="inlineStr">
        <is>
          <t>csv</t>
        </is>
      </c>
    </row>
    <row r="123">
      <c r="A123" s="2" t="inlineStr">
        <is>
          <t>ICSA-26-244-06</t>
        </is>
      </c>
      <c r="B123" s="2" t="inlineStr">
        <is>
          <t>CVE-2026-12661</t>
        </is>
      </c>
      <c r="C123" s="2" t="inlineStr">
        <is>
          <t>Rockwell Automation Historian ME</t>
        </is>
      </c>
      <c r="D123" s="2" t="inlineStr">
        <is>
          <t>Rockwell Automation</t>
        </is>
      </c>
      <c r="E123" s="2" t="inlineStr">
        <is>
          <t>Rockwell Automation Historian ME</t>
        </is>
      </c>
      <c r="F123" s="2" t="inlineStr">
        <is>
          <t>8.0</t>
        </is>
      </c>
      <c r="G123" s="2" t="inlineStr">
        <is>
          <t>high</t>
        </is>
      </c>
      <c r="H123" s="2" t="inlineStr">
        <is>
          <t>9/1/2026</t>
        </is>
      </c>
      <c r="I123" s="2" t="inlineStr">
        <is>
          <t>9/1/2026</t>
        </is>
      </c>
      <c r="J123" s="2" t="inlineStr">
        <is>
          <t>2026-09-01T13:41:53.240Z</t>
        </is>
      </c>
      <c r="K123" s="2" t="inlineStr">
        <is>
          <t>Chemical; Critical Manufacturing; Food and Agriculture; Healthcare and Public Health; Water and Wastewater Systems</t>
        </is>
      </c>
      <c r="L123" s="2" t="inlineStr">
        <is>
          <t>Yes</t>
        </is>
      </c>
      <c r="M123" s="2" t="inlineStr">
        <is>
          <t>Likely</t>
        </is>
      </c>
      <c r="N123" s="2" t="inlineStr">
        <is>
          <t>Y</t>
        </is>
      </c>
      <c r="O123" s="2" t="inlineStr">
        <is>
          <t>N</t>
        </is>
      </c>
      <c r="P123" s="2">
        <f>IF(O123="Y",10,0)+IF(G123="Critical",65,IF(G123="High",60,IF(G123="Medium",50,IF(G123="Low",35,0))))</f>
        <v/>
      </c>
      <c r="Q123" s="2" t="inlineStr">
        <is>
          <t>Stack Buffer Overflow, Out-of-Bounds Write / RCE</t>
        </is>
      </c>
      <c r="R123" s="2" t="inlineStr">
        <is>
          <t>Series B 5.202 | Series C 7.101</t>
        </is>
      </c>
      <c r="S123" s="2" t="inlineStr">
        <is>
          <t>Unknown</t>
        </is>
      </c>
      <c r="T123" s="2" t="inlineStr">
        <is>
          <t>CWE-121, CWE-787</t>
        </is>
      </c>
      <c r="U123" s="2" t="inlineStr">
        <is>
          <t>https://www.cisa.gov/news-events/ics-advisories/icsa-26-244-06</t>
        </is>
      </c>
      <c r="V123" s="2" t="inlineStr">
        <is>
          <t>United States</t>
        </is>
      </c>
      <c r="W123" s="2" t="inlineStr">
        <is>
          <t>Worldwide</t>
        </is>
      </c>
      <c r="X123" s="2" t="inlineStr"/>
      <c r="Y123" s="2" t="inlineStr">
        <is>
          <t>csv</t>
        </is>
      </c>
    </row>
    <row r="124">
      <c r="A124" s="2" t="inlineStr">
        <is>
          <t>ICSA-26-244-05</t>
        </is>
      </c>
      <c r="B124" s="2" t="inlineStr">
        <is>
          <t>CVE-2021-42260</t>
        </is>
      </c>
      <c r="C124" s="2" t="inlineStr">
        <is>
          <t>Rockwell Automation ControlLogix, CompactLogix, CompactLogix 5480, GuardLogix, Compact GuardLogix</t>
        </is>
      </c>
      <c r="D124" s="2" t="inlineStr">
        <is>
          <t>Rockwell Automation</t>
        </is>
      </c>
      <c r="E124" s="2" t="inlineStr">
        <is>
          <t>Rockwell Automation ControlLogix, CompactLogix, CompactLogix 5480, GuardLogix, Compact GuardLogix</t>
        </is>
      </c>
      <c r="F124" s="2" t="inlineStr">
        <is>
          <t>7.5</t>
        </is>
      </c>
      <c r="G124" s="2" t="inlineStr">
        <is>
          <t>high</t>
        </is>
      </c>
      <c r="H124" s="2" t="inlineStr">
        <is>
          <t>9/1/2026</t>
        </is>
      </c>
      <c r="I124" s="2" t="inlineStr">
        <is>
          <t>9/1/2026</t>
        </is>
      </c>
      <c r="J124" s="2" t="inlineStr">
        <is>
          <t>2021-10-11T00:00:00.000Z</t>
        </is>
      </c>
      <c r="K124" s="2" t="inlineStr">
        <is>
          <t>Critical Manufacturing</t>
        </is>
      </c>
      <c r="L124" s="2" t="inlineStr">
        <is>
          <t>Yes</t>
        </is>
      </c>
      <c r="M124" s="2" t="inlineStr">
        <is>
          <t>Likely</t>
        </is>
      </c>
      <c r="N124" s="2" t="inlineStr">
        <is>
          <t>Y</t>
        </is>
      </c>
      <c r="O124" s="2" t="inlineStr">
        <is>
          <t>N</t>
        </is>
      </c>
      <c r="P124" s="2">
        <f>IF(O124="Y",10,0)+IF(G124="Critical",65,IF(G124="High",60,IF(G124="Medium",50,IF(G124="Low",35,0))))</f>
        <v/>
      </c>
      <c r="Q124" s="2" t="inlineStr">
        <is>
          <t>Unknown</t>
        </is>
      </c>
      <c r="R124" s="2" t="inlineStr">
        <is>
          <t>ControlLogix 5580 &lt;34.015, &lt;35.014, &lt;36.013, &lt;37.011 | GuardLogix 5580 &lt;34.015, &lt;35.014, &lt;36.013, &lt;37.011 | CompactLogix 5380 &lt;34.015, &lt;35.014, &lt;36.013, &lt;37.011 | Compact GuardLogix 5380 &lt;34.015, &lt;…</t>
        </is>
      </c>
      <c r="S124" s="2" t="inlineStr">
        <is>
          <t>34.015</t>
        </is>
      </c>
      <c r="T124" s="2" t="inlineStr">
        <is>
          <t>CWE-835</t>
        </is>
      </c>
      <c r="U124" s="2" t="inlineStr">
        <is>
          <t>https://www.cisa.gov/news-events/ics-advisories/icsa-26-244-05</t>
        </is>
      </c>
      <c r="V124" s="2" t="inlineStr">
        <is>
          <t>United States</t>
        </is>
      </c>
      <c r="W124" s="2" t="inlineStr">
        <is>
          <t>Worldwide</t>
        </is>
      </c>
      <c r="X124" s="2" t="inlineStr"/>
      <c r="Y124" s="2" t="inlineStr">
        <is>
          <t>csv</t>
        </is>
      </c>
    </row>
    <row r="125">
      <c r="A125" s="2" t="inlineStr">
        <is>
          <t>ICSA-26-244-04</t>
        </is>
      </c>
      <c r="B125" s="2" t="inlineStr">
        <is>
          <t>CVE-2026-16675</t>
        </is>
      </c>
      <c r="C125" s="2" t="inlineStr">
        <is>
          <t>Rockwell Automation FactoryTalk Activation Manager</t>
        </is>
      </c>
      <c r="D125" s="2" t="inlineStr">
        <is>
          <t>Rockwell Automation</t>
        </is>
      </c>
      <c r="E125" s="2" t="inlineStr">
        <is>
          <t>Rockwell Automation FactoryTalk Activation Manager</t>
        </is>
      </c>
      <c r="F125" s="2" t="inlineStr">
        <is>
          <t>7.8</t>
        </is>
      </c>
      <c r="G125" s="2" t="inlineStr">
        <is>
          <t>high</t>
        </is>
      </c>
      <c r="H125" s="2" t="inlineStr">
        <is>
          <t>9/1/2026</t>
        </is>
      </c>
      <c r="I125" s="2" t="inlineStr">
        <is>
          <t>9/1/2026</t>
        </is>
      </c>
      <c r="J125" s="2" t="inlineStr">
        <is>
          <t>2026-09-01T13:18:58.120Z</t>
        </is>
      </c>
      <c r="K125" s="2" t="inlineStr">
        <is>
          <t>Critical Manufacturing</t>
        </is>
      </c>
      <c r="L125" s="2" t="inlineStr">
        <is>
          <t>Yes</t>
        </is>
      </c>
      <c r="M125" s="2" t="inlineStr">
        <is>
          <t>Likely</t>
        </is>
      </c>
      <c r="N125" s="2" t="inlineStr">
        <is>
          <t>Y</t>
        </is>
      </c>
      <c r="O125" s="2" t="inlineStr">
        <is>
          <t>N</t>
        </is>
      </c>
      <c r="P125" s="2">
        <f>IF(O125="Y",10,0)+IF(G125="Critical",65,IF(G125="High",60,IF(G125="Medium",50,IF(G125="Low",35,0))))</f>
        <v/>
      </c>
      <c r="Q125" s="2" t="inlineStr">
        <is>
          <t>Unknown</t>
        </is>
      </c>
      <c r="R125" s="2" t="inlineStr">
        <is>
          <t>FactoryTalk Activation Manager V5.02_and_below</t>
        </is>
      </c>
      <c r="S125" s="2" t="inlineStr">
        <is>
          <t>Unknown</t>
        </is>
      </c>
      <c r="T125" s="2" t="inlineStr">
        <is>
          <t>CWE-307</t>
        </is>
      </c>
      <c r="U125" s="2" t="inlineStr">
        <is>
          <t>https://www.cisa.gov/news-events/ics-advisories/icsa-26-244-04</t>
        </is>
      </c>
      <c r="V125" s="2" t="inlineStr">
        <is>
          <t>United States</t>
        </is>
      </c>
      <c r="W125" s="2" t="inlineStr">
        <is>
          <t>Worldwide</t>
        </is>
      </c>
      <c r="X125" s="2" t="inlineStr"/>
      <c r="Y125" s="2" t="inlineStr">
        <is>
          <t>csv</t>
        </is>
      </c>
    </row>
    <row r="126">
      <c r="A126" s="2" t="inlineStr">
        <is>
          <t>ICSA-26-244-03</t>
        </is>
      </c>
      <c r="B126" s="2" t="inlineStr">
        <is>
          <t>CVE-2026-9637</t>
        </is>
      </c>
      <c r="C126" s="2" t="inlineStr">
        <is>
          <t>Rockwell Automation Logix Platform</t>
        </is>
      </c>
      <c r="D126" s="2" t="inlineStr">
        <is>
          <t>Rockwell Automation</t>
        </is>
      </c>
      <c r="E126" s="2" t="inlineStr">
        <is>
          <t>Rockwell Automation Logix Platform</t>
        </is>
      </c>
      <c r="F126" s="2" t="inlineStr">
        <is>
          <t>7.5</t>
        </is>
      </c>
      <c r="G126" s="2" t="inlineStr">
        <is>
          <t>high</t>
        </is>
      </c>
      <c r="H126" s="2" t="inlineStr">
        <is>
          <t>9/1/2026</t>
        </is>
      </c>
      <c r="I126" s="2" t="inlineStr">
        <is>
          <t>9/1/2026</t>
        </is>
      </c>
      <c r="J126" s="2" t="inlineStr">
        <is>
          <t>2026-09-01T13:28:26.239Z</t>
        </is>
      </c>
      <c r="K126" s="2" t="inlineStr">
        <is>
          <t>Critical Manufacturing</t>
        </is>
      </c>
      <c r="L126" s="2" t="inlineStr">
        <is>
          <t>Yes</t>
        </is>
      </c>
      <c r="M126" s="2" t="inlineStr">
        <is>
          <t>Likely</t>
        </is>
      </c>
      <c r="N126" s="2" t="inlineStr">
        <is>
          <t>Y</t>
        </is>
      </c>
      <c r="O126" s="2" t="inlineStr">
        <is>
          <t>N</t>
        </is>
      </c>
      <c r="P126" s="2">
        <f>IF(O126="Y",10,0)+IF(G126="Critical",65,IF(G126="High",60,IF(G126="Medium",50,IF(G126="Low",35,0))))</f>
        <v/>
      </c>
      <c r="Q126" s="2" t="inlineStr">
        <is>
          <t>Buffer Overflow</t>
        </is>
      </c>
      <c r="R126" s="2" t="inlineStr">
        <is>
          <t>ControlLogix 5580 &lt;=V33, V34.011-V34.014, V35.011-V35.013, V36.011-V36.012 | CompactLogix 5380 &lt;=V33, V34.011-V34.014, V35.011-V35.013, V36.011-V36.012 | GuardLogix 5580 &lt;=V33, V34.011-V34.014, V35…</t>
        </is>
      </c>
      <c r="S126" s="2" t="inlineStr">
        <is>
          <t>33</t>
        </is>
      </c>
      <c r="T126" s="2" t="inlineStr">
        <is>
          <t>CWE-119</t>
        </is>
      </c>
      <c r="U126" s="2" t="inlineStr">
        <is>
          <t>https://www.cisa.gov/news-events/ics-advisories/icsa-26-244-03</t>
        </is>
      </c>
      <c r="V126" s="2" t="inlineStr">
        <is>
          <t>United States</t>
        </is>
      </c>
      <c r="W126" s="2" t="inlineStr">
        <is>
          <t>Worldwide</t>
        </is>
      </c>
      <c r="X126" s="2" t="inlineStr"/>
      <c r="Y126" s="2" t="inlineStr">
        <is>
          <t>csv</t>
        </is>
      </c>
    </row>
    <row r="127">
      <c r="A127" s="2" t="inlineStr">
        <is>
          <t>ICSA-26-244-02</t>
        </is>
      </c>
      <c r="B127" s="2" t="inlineStr">
        <is>
          <t>CVE-2026-9633</t>
        </is>
      </c>
      <c r="C127" s="2" t="inlineStr">
        <is>
          <t>Rockwell Automation Redundancy Module Configuration Tool</t>
        </is>
      </c>
      <c r="D127" s="2" t="inlineStr">
        <is>
          <t>Rockwell Automation</t>
        </is>
      </c>
      <c r="E127" s="2" t="inlineStr">
        <is>
          <t>Rockwell Automation Redundancy Module Configuration Tool</t>
        </is>
      </c>
      <c r="F127" s="2" t="inlineStr">
        <is>
          <t>7.3</t>
        </is>
      </c>
      <c r="G127" s="2" t="inlineStr">
        <is>
          <t>high</t>
        </is>
      </c>
      <c r="H127" s="2" t="inlineStr">
        <is>
          <t>9/1/2026</t>
        </is>
      </c>
      <c r="I127" s="2" t="inlineStr">
        <is>
          <t>9/1/2026</t>
        </is>
      </c>
      <c r="J127" s="2" t="inlineStr">
        <is>
          <t>2026-09-01T13:45:15.777Z</t>
        </is>
      </c>
      <c r="K127" s="2" t="inlineStr">
        <is>
          <t>Critical Manufacturing</t>
        </is>
      </c>
      <c r="L127" s="2" t="inlineStr">
        <is>
          <t>Yes</t>
        </is>
      </c>
      <c r="M127" s="2" t="inlineStr">
        <is>
          <t>Likely</t>
        </is>
      </c>
      <c r="N127" s="2" t="inlineStr">
        <is>
          <t>Y</t>
        </is>
      </c>
      <c r="O127" s="2" t="inlineStr">
        <is>
          <t>N</t>
        </is>
      </c>
      <c r="P127" s="2">
        <f>IF(O127="Y",10,0)+IF(G127="Critical",65,IF(G127="High",60,IF(G127="Medium",50,IF(G127="Low",35,0))))</f>
        <v/>
      </c>
      <c r="Q127" s="2" t="inlineStr">
        <is>
          <t>Incorrect Default Permissions</t>
        </is>
      </c>
      <c r="R127" s="2" t="inlineStr">
        <is>
          <t>Redundancy Module Configuration Tool 10.00.00 | Redundancy Module Configuration Tool &gt;=9.00.00|&lt;=10.00.00</t>
        </is>
      </c>
      <c r="S127" s="2" t="inlineStr">
        <is>
          <t>10.00.00</t>
        </is>
      </c>
      <c r="T127" s="2" t="inlineStr">
        <is>
          <t>CWE-276</t>
        </is>
      </c>
      <c r="U127" s="2" t="inlineStr">
        <is>
          <t>https://www.cisa.gov/news-events/ics-advisories/icsa-26-244-02</t>
        </is>
      </c>
      <c r="V127" s="2" t="inlineStr">
        <is>
          <t>United States</t>
        </is>
      </c>
      <c r="W127" s="2" t="inlineStr">
        <is>
          <t>Worldwide</t>
        </is>
      </c>
      <c r="X127" s="2" t="inlineStr"/>
      <c r="Y127" s="2" t="inlineStr">
        <is>
          <t>csv</t>
        </is>
      </c>
    </row>
    <row r="128">
      <c r="A128" s="2" t="inlineStr">
        <is>
          <t>ICSA-26-244-02</t>
        </is>
      </c>
      <c r="B128" s="2" t="inlineStr">
        <is>
          <t>CVE-2026-9634</t>
        </is>
      </c>
      <c r="C128" s="2" t="inlineStr">
        <is>
          <t>Rockwell Automation Redundancy Module Configuration Tool</t>
        </is>
      </c>
      <c r="D128" s="2" t="inlineStr">
        <is>
          <t>Rockwell Automation</t>
        </is>
      </c>
      <c r="E128" s="2" t="inlineStr">
        <is>
          <t>Rockwell Automation Redundancy Module Configuration Tool</t>
        </is>
      </c>
      <c r="F128" s="2" t="inlineStr">
        <is>
          <t>7.3</t>
        </is>
      </c>
      <c r="G128" s="2" t="inlineStr">
        <is>
          <t>high</t>
        </is>
      </c>
      <c r="H128" s="2" t="inlineStr">
        <is>
          <t>9/1/2026</t>
        </is>
      </c>
      <c r="I128" s="2" t="inlineStr">
        <is>
          <t>9/1/2026</t>
        </is>
      </c>
      <c r="J128" s="2" t="inlineStr">
        <is>
          <t>2026-09-01T13:45:49.512Z</t>
        </is>
      </c>
      <c r="K128" s="2" t="inlineStr">
        <is>
          <t>Critical Manufacturing</t>
        </is>
      </c>
      <c r="L128" s="2" t="inlineStr">
        <is>
          <t>Yes</t>
        </is>
      </c>
      <c r="M128" s="2" t="inlineStr">
        <is>
          <t>Likely</t>
        </is>
      </c>
      <c r="N128" s="2" t="inlineStr">
        <is>
          <t>Y</t>
        </is>
      </c>
      <c r="O128" s="2" t="inlineStr">
        <is>
          <t>N</t>
        </is>
      </c>
      <c r="P128" s="2">
        <f>IF(O128="Y",10,0)+IF(G128="Critical",65,IF(G128="High",60,IF(G128="Medium",50,IF(G128="Low",35,0))))</f>
        <v/>
      </c>
      <c r="Q128" s="2" t="inlineStr">
        <is>
          <t>Incorrect Default Permissions</t>
        </is>
      </c>
      <c r="R128" s="2" t="inlineStr">
        <is>
          <t>Redundancy Module Configuration Tool 10.00.00 | Redundancy Module Configuration Tool &gt;=9.00.00|&lt;=10.00.00</t>
        </is>
      </c>
      <c r="S128" s="2" t="inlineStr">
        <is>
          <t>10.00.00</t>
        </is>
      </c>
      <c r="T128" s="2" t="inlineStr">
        <is>
          <t>CWE-276</t>
        </is>
      </c>
      <c r="U128" s="2" t="inlineStr">
        <is>
          <t>https://www.cisa.gov/news-events/ics-advisories/icsa-26-244-02</t>
        </is>
      </c>
      <c r="V128" s="2" t="inlineStr">
        <is>
          <t>United States</t>
        </is>
      </c>
      <c r="W128" s="2" t="inlineStr">
        <is>
          <t>Worldwide</t>
        </is>
      </c>
      <c r="X128" s="2" t="inlineStr"/>
      <c r="Y128" s="2" t="inlineStr">
        <is>
          <t>csv</t>
        </is>
      </c>
    </row>
    <row r="129">
      <c r="A129" s="2" t="inlineStr">
        <is>
          <t>ICSA-26-244-01</t>
        </is>
      </c>
      <c r="B129" s="2" t="inlineStr">
        <is>
          <t>CVE-2026-9621</t>
        </is>
      </c>
      <c r="C129" s="2" t="inlineStr">
        <is>
          <t>Rockwell Automation RSLinx Classic</t>
        </is>
      </c>
      <c r="D129" s="2" t="inlineStr">
        <is>
          <t>Rockwell Automation</t>
        </is>
      </c>
      <c r="E129" s="2" t="inlineStr">
        <is>
          <t>Rockwell Automation RSLinx Classic</t>
        </is>
      </c>
      <c r="F129" s="2" t="inlineStr">
        <is>
          <t>8.6</t>
        </is>
      </c>
      <c r="G129" s="2" t="inlineStr">
        <is>
          <t>high</t>
        </is>
      </c>
      <c r="H129" s="2" t="inlineStr">
        <is>
          <t>9/1/2026</t>
        </is>
      </c>
      <c r="I129" s="2" t="inlineStr">
        <is>
          <t>9/1/2026</t>
        </is>
      </c>
      <c r="J129" s="2" t="inlineStr">
        <is>
          <t>2026-09-01T13:33:53.819Z</t>
        </is>
      </c>
      <c r="K129" s="2" t="inlineStr">
        <is>
          <t>Critical Manufacturing</t>
        </is>
      </c>
      <c r="L129" s="2" t="inlineStr">
        <is>
          <t>Yes</t>
        </is>
      </c>
      <c r="M129" s="2" t="inlineStr">
        <is>
          <t>Likely</t>
        </is>
      </c>
      <c r="N129" s="2" t="inlineStr">
        <is>
          <t>Y</t>
        </is>
      </c>
      <c r="O129" s="2" t="inlineStr">
        <is>
          <t>N</t>
        </is>
      </c>
      <c r="P129" s="2">
        <f>IF(O129="Y",10,0)+IF(G129="Critical",65,IF(G129="High",60,IF(G129="Medium",50,IF(G129="Low",35,0))))</f>
        <v/>
      </c>
      <c r="Q129" s="2" t="inlineStr">
        <is>
          <t>Buffer Overflow, Integer Overflow</t>
        </is>
      </c>
      <c r="R129" s="2" t="inlineStr">
        <is>
          <t>RSLinx Classic &lt;=4.50</t>
        </is>
      </c>
      <c r="S129" s="2" t="inlineStr">
        <is>
          <t>4.50</t>
        </is>
      </c>
      <c r="T129" s="2" t="inlineStr">
        <is>
          <t>CWE-120, CWE-190, CWE-191</t>
        </is>
      </c>
      <c r="U129" s="2" t="inlineStr">
        <is>
          <t>https://www.cisa.gov/news-events/ics-advisories/icsa-26-244-01</t>
        </is>
      </c>
      <c r="V129" s="2" t="inlineStr">
        <is>
          <t>United States</t>
        </is>
      </c>
      <c r="W129" s="2" t="inlineStr">
        <is>
          <t>Worldwide</t>
        </is>
      </c>
      <c r="X129" s="2" t="inlineStr"/>
      <c r="Y129" s="2" t="inlineStr">
        <is>
          <t>csv</t>
        </is>
      </c>
    </row>
    <row r="130">
      <c r="A130" s="2" t="inlineStr">
        <is>
          <t>ICSA-26-244-01</t>
        </is>
      </c>
      <c r="B130" s="2" t="inlineStr">
        <is>
          <t>CVE-2026-9622</t>
        </is>
      </c>
      <c r="C130" s="2" t="inlineStr">
        <is>
          <t>Rockwell Automation RSLinx Classic</t>
        </is>
      </c>
      <c r="D130" s="2" t="inlineStr">
        <is>
          <t>Rockwell Automation</t>
        </is>
      </c>
      <c r="E130" s="2" t="inlineStr">
        <is>
          <t>Rockwell Automation RSLinx Classic</t>
        </is>
      </c>
      <c r="F130" s="2" t="inlineStr">
        <is>
          <t>8.6</t>
        </is>
      </c>
      <c r="G130" s="2" t="inlineStr">
        <is>
          <t>high</t>
        </is>
      </c>
      <c r="H130" s="2" t="inlineStr">
        <is>
          <t>9/1/2026</t>
        </is>
      </c>
      <c r="I130" s="2" t="inlineStr">
        <is>
          <t>9/1/2026</t>
        </is>
      </c>
      <c r="J130" s="2" t="inlineStr">
        <is>
          <t>2026-09-01T13:34:55.362Z</t>
        </is>
      </c>
      <c r="K130" s="2" t="inlineStr">
        <is>
          <t>Critical Manufacturing</t>
        </is>
      </c>
      <c r="L130" s="2" t="inlineStr">
        <is>
          <t>Yes</t>
        </is>
      </c>
      <c r="M130" s="2" t="inlineStr">
        <is>
          <t>Likely</t>
        </is>
      </c>
      <c r="N130" s="2" t="inlineStr">
        <is>
          <t>Y</t>
        </is>
      </c>
      <c r="O130" s="2" t="inlineStr">
        <is>
          <t>N</t>
        </is>
      </c>
      <c r="P130" s="2">
        <f>IF(O130="Y",10,0)+IF(G130="Critical",65,IF(G130="High",60,IF(G130="Medium",50,IF(G130="Low",35,0))))</f>
        <v/>
      </c>
      <c r="Q130" s="2" t="inlineStr">
        <is>
          <t>Buffer Overflow, Integer Overflow</t>
        </is>
      </c>
      <c r="R130" s="2" t="inlineStr">
        <is>
          <t>RSLinx Classic &lt;=4.50</t>
        </is>
      </c>
      <c r="S130" s="2" t="inlineStr">
        <is>
          <t>4.50</t>
        </is>
      </c>
      <c r="T130" s="2" t="inlineStr">
        <is>
          <t>CWE-120, CWE-190, CWE-191</t>
        </is>
      </c>
      <c r="U130" s="2" t="inlineStr">
        <is>
          <t>https://www.cisa.gov/news-events/ics-advisories/icsa-26-244-01</t>
        </is>
      </c>
      <c r="V130" s="2" t="inlineStr">
        <is>
          <t>United States</t>
        </is>
      </c>
      <c r="W130" s="2" t="inlineStr">
        <is>
          <t>Worldwide</t>
        </is>
      </c>
      <c r="X130" s="2" t="inlineStr"/>
      <c r="Y130" s="2" t="inlineStr">
        <is>
          <t>csv</t>
        </is>
      </c>
    </row>
    <row r="131">
      <c r="A131" s="2" t="inlineStr">
        <is>
          <t>ICSA-26-244-01</t>
        </is>
      </c>
      <c r="B131" s="2" t="inlineStr">
        <is>
          <t>CVE-2026-9624</t>
        </is>
      </c>
      <c r="C131" s="2" t="inlineStr">
        <is>
          <t>Rockwell Automation RSLinx Classic</t>
        </is>
      </c>
      <c r="D131" s="2" t="inlineStr">
        <is>
          <t>Rockwell Automation</t>
        </is>
      </c>
      <c r="E131" s="2" t="inlineStr">
        <is>
          <t>Rockwell Automation RSLinx Classic</t>
        </is>
      </c>
      <c r="F131" s="2" t="inlineStr">
        <is>
          <t>8.6</t>
        </is>
      </c>
      <c r="G131" s="2" t="inlineStr">
        <is>
          <t>high</t>
        </is>
      </c>
      <c r="H131" s="2" t="inlineStr">
        <is>
          <t>9/1/2026</t>
        </is>
      </c>
      <c r="I131" s="2" t="inlineStr">
        <is>
          <t>9/1/2026</t>
        </is>
      </c>
      <c r="J131" s="2" t="inlineStr">
        <is>
          <t>2026-09-01T13:35:35.570Z</t>
        </is>
      </c>
      <c r="K131" s="2" t="inlineStr">
        <is>
          <t>Critical Manufacturing</t>
        </is>
      </c>
      <c r="L131" s="2" t="inlineStr">
        <is>
          <t>Yes</t>
        </is>
      </c>
      <c r="M131" s="2" t="inlineStr">
        <is>
          <t>Likely</t>
        </is>
      </c>
      <c r="N131" s="2" t="inlineStr">
        <is>
          <t>Y</t>
        </is>
      </c>
      <c r="O131" s="2" t="inlineStr">
        <is>
          <t>N</t>
        </is>
      </c>
      <c r="P131" s="2">
        <f>IF(O131="Y",10,0)+IF(G131="Critical",65,IF(G131="High",60,IF(G131="Medium",50,IF(G131="Low",35,0))))</f>
        <v/>
      </c>
      <c r="Q131" s="2" t="inlineStr">
        <is>
          <t>Buffer Overflow, Integer Overflow</t>
        </is>
      </c>
      <c r="R131" s="2" t="inlineStr">
        <is>
          <t>RSLinx Classic &lt;=4.50</t>
        </is>
      </c>
      <c r="S131" s="2" t="inlineStr">
        <is>
          <t>4.50</t>
        </is>
      </c>
      <c r="T131" s="2" t="inlineStr">
        <is>
          <t>CWE-120, CWE-190, CWE-191</t>
        </is>
      </c>
      <c r="U131" s="2" t="inlineStr">
        <is>
          <t>https://www.cisa.gov/news-events/ics-advisories/icsa-26-244-01</t>
        </is>
      </c>
      <c r="V131" s="2" t="inlineStr">
        <is>
          <t>United States</t>
        </is>
      </c>
      <c r="W131" s="2" t="inlineStr">
        <is>
          <t>Worldwide</t>
        </is>
      </c>
      <c r="X131" s="2" t="inlineStr"/>
      <c r="Y131" s="2" t="inlineStr">
        <is>
          <t>csv</t>
        </is>
      </c>
    </row>
    <row r="132">
      <c r="A132" s="2" t="inlineStr">
        <is>
          <t>ICSA-26-244-01</t>
        </is>
      </c>
      <c r="B132" s="2" t="inlineStr">
        <is>
          <t>CVE-2026-9625</t>
        </is>
      </c>
      <c r="C132" s="2" t="inlineStr">
        <is>
          <t>Rockwell Automation RSLinx Classic</t>
        </is>
      </c>
      <c r="D132" s="2" t="inlineStr">
        <is>
          <t>Rockwell Automation</t>
        </is>
      </c>
      <c r="E132" s="2" t="inlineStr">
        <is>
          <t>Rockwell Automation RSLinx Classic</t>
        </is>
      </c>
      <c r="F132" s="2" t="inlineStr">
        <is>
          <t>8.6</t>
        </is>
      </c>
      <c r="G132" s="2" t="inlineStr">
        <is>
          <t>high</t>
        </is>
      </c>
      <c r="H132" s="2" t="inlineStr">
        <is>
          <t>9/1/2026</t>
        </is>
      </c>
      <c r="I132" s="2" t="inlineStr">
        <is>
          <t>9/1/2026</t>
        </is>
      </c>
      <c r="J132" s="2" t="inlineStr">
        <is>
          <t>2026-09-01T13:36:58.811Z</t>
        </is>
      </c>
      <c r="K132" s="2" t="inlineStr">
        <is>
          <t>Critical Manufacturing</t>
        </is>
      </c>
      <c r="L132" s="2" t="inlineStr">
        <is>
          <t>Yes</t>
        </is>
      </c>
      <c r="M132" s="2" t="inlineStr">
        <is>
          <t>Likely</t>
        </is>
      </c>
      <c r="N132" s="2" t="inlineStr">
        <is>
          <t>Y</t>
        </is>
      </c>
      <c r="O132" s="2" t="inlineStr">
        <is>
          <t>N</t>
        </is>
      </c>
      <c r="P132" s="2">
        <f>IF(O132="Y",10,0)+IF(G132="Critical",65,IF(G132="High",60,IF(G132="Medium",50,IF(G132="Low",35,0))))</f>
        <v/>
      </c>
      <c r="Q132" s="2" t="inlineStr">
        <is>
          <t>Buffer Overflow, Integer Overflow</t>
        </is>
      </c>
      <c r="R132" s="2" t="inlineStr">
        <is>
          <t>RSLinx Classic &lt;=4.50</t>
        </is>
      </c>
      <c r="S132" s="2" t="inlineStr">
        <is>
          <t>4.50</t>
        </is>
      </c>
      <c r="T132" s="2" t="inlineStr">
        <is>
          <t>CWE-120, CWE-190, CWE-191</t>
        </is>
      </c>
      <c r="U132" s="2" t="inlineStr">
        <is>
          <t>https://www.cisa.gov/news-events/ics-advisories/icsa-26-244-01</t>
        </is>
      </c>
      <c r="V132" s="2" t="inlineStr">
        <is>
          <t>United States</t>
        </is>
      </c>
      <c r="W132" s="2" t="inlineStr">
        <is>
          <t>Worldwide</t>
        </is>
      </c>
      <c r="X132" s="2" t="inlineStr"/>
      <c r="Y132" s="2" t="inlineStr">
        <is>
          <t>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2026-10-05T10:43:02Z</dcterms:created>
  <dcterms:modified xmlns:dcterms="http://purl.org/dc/terms/" xmlns:xsi="http://www.w3.org/2001/XMLSchema-instance" xsi:type="dcterms:W3CDTF">2026-10-05T10:43:03Z</dcterms:modified>
</cp:coreProperties>
</file>